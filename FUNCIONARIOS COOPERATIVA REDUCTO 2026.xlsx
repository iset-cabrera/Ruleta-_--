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drawings/drawing3.xml" ContentType="application/vnd.openxmlformats-officedocument.drawing+xml"/>
  <Override PartName="/xl/tables/table3.xml" ContentType="application/vnd.openxmlformats-officedocument.spreadsheetml.table+xml"/>
  <Override PartName="/xl/drawings/drawing4.xml" ContentType="application/vnd.openxmlformats-officedocument.drawing+xml"/>
  <Override PartName="/xl/tables/table4.xml" ContentType="application/vnd.openxmlformats-officedocument.spreadsheetml.table+xml"/>
  <Override PartName="/xl/drawings/drawing5.xml" ContentType="application/vnd.openxmlformats-officedocument.drawing+xml"/>
  <Override PartName="/xl/tables/table5.xml" ContentType="application/vnd.openxmlformats-officedocument.spreadsheetml.table+xml"/>
  <Override PartName="/xl/drawings/drawing6.xml" ContentType="application/vnd.openxmlformats-officedocument.drawing+xml"/>
  <Override PartName="/xl/tables/table6.xml" ContentType="application/vnd.openxmlformats-officedocument.spreadsheetml.table+xml"/>
  <Override PartName="/xl/drawings/drawing7.xml" ContentType="application/vnd.openxmlformats-officedocument.drawing+xml"/>
  <Override PartName="/xl/tables/table7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TALENTOS HUMANOS 2026\COLABORADORES 2026\"/>
    </mc:Choice>
  </mc:AlternateContent>
  <xr:revisionPtr revIDLastSave="0" documentId="13_ncr:1_{016AECFE-6F2E-4344-9F03-EB4A8701FA1C}" xr6:coauthVersionLast="47" xr6:coauthVersionMax="47" xr10:uidLastSave="{00000000-0000-0000-0000-000000000000}"/>
  <bookViews>
    <workbookView xWindow="-28920" yWindow="-120" windowWidth="29040" windowHeight="15720" tabRatio="729" activeTab="5" xr2:uid="{00000000-000D-0000-FFFF-FFFF00000000}"/>
  </bookViews>
  <sheets>
    <sheet name="CASA MATRIZ" sheetId="1" r:id="rId1"/>
    <sheet name="SANLORENZO_CENTRO" sheetId="2" r:id="rId2"/>
    <sheet name="SUCURSAL 5" sheetId="3" r:id="rId3"/>
    <sheet name="VILLARRICA" sheetId="6" r:id="rId4"/>
    <sheet name="CENTRO MEDICO REDUCTO" sheetId="4" r:id="rId5"/>
    <sheet name="HERNANDARIAS" sheetId="5" r:id="rId6"/>
    <sheet name="C.D.E" sheetId="7" r:id="rId7"/>
    <sheet name="ALTAS Y BAJAS DE PERSONALES" sheetId="8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63" i="1" l="1"/>
  <c r="H62" i="1" l="1"/>
  <c r="H27" i="1"/>
  <c r="H61" i="1"/>
  <c r="D15" i="3"/>
  <c r="H60" i="1" l="1"/>
  <c r="H59" i="1" l="1"/>
  <c r="D14" i="5"/>
  <c r="D16" i="4" l="1"/>
  <c r="D15" i="4"/>
  <c r="D14" i="4"/>
  <c r="D13" i="4"/>
  <c r="D12" i="4"/>
  <c r="D11" i="4"/>
  <c r="H12" i="1" l="1"/>
  <c r="H16" i="1"/>
  <c r="H22" i="1"/>
  <c r="H54" i="1"/>
  <c r="H15" i="1"/>
  <c r="H44" i="1"/>
  <c r="H29" i="1"/>
  <c r="H17" i="1"/>
  <c r="H47" i="1"/>
  <c r="H10" i="1"/>
  <c r="H20" i="1"/>
  <c r="H21" i="1"/>
  <c r="H26" i="1"/>
  <c r="H31" i="1"/>
  <c r="H34" i="1"/>
  <c r="H28" i="1"/>
  <c r="H23" i="1"/>
  <c r="H49" i="1"/>
  <c r="H48" i="1"/>
  <c r="H7" i="1"/>
  <c r="H45" i="1"/>
  <c r="H13" i="1"/>
  <c r="H24" i="1"/>
  <c r="H51" i="1"/>
  <c r="H36" i="1"/>
  <c r="H37" i="1"/>
  <c r="H41" i="1"/>
  <c r="H14" i="1"/>
  <c r="H19" i="1"/>
  <c r="H33" i="1"/>
  <c r="H38" i="1"/>
  <c r="H46" i="1"/>
  <c r="H39" i="1"/>
  <c r="H50" i="1"/>
  <c r="H8" i="1"/>
  <c r="H30" i="1"/>
  <c r="H53" i="1"/>
  <c r="H43" i="1"/>
  <c r="H32" i="1"/>
  <c r="H11" i="1"/>
  <c r="H42" i="1"/>
  <c r="H35" i="1"/>
  <c r="H9" i="1"/>
  <c r="H40" i="1"/>
  <c r="H25" i="1"/>
  <c r="H52" i="1"/>
  <c r="H18" i="1"/>
  <c r="H55" i="1"/>
  <c r="H56" i="1"/>
  <c r="H57" i="1"/>
  <c r="H58" i="1"/>
  <c r="D18" i="7" l="1"/>
  <c r="D17" i="7"/>
  <c r="D16" i="7"/>
  <c r="D15" i="7"/>
  <c r="D14" i="7"/>
  <c r="D13" i="7"/>
  <c r="D12" i="7"/>
  <c r="D11" i="7"/>
  <c r="D10" i="7"/>
  <c r="D9" i="7"/>
  <c r="D8" i="7"/>
  <c r="D7" i="7"/>
  <c r="D20" i="7"/>
  <c r="D19" i="7"/>
  <c r="E5" i="7"/>
  <c r="D13" i="6"/>
  <c r="D12" i="6"/>
  <c r="D11" i="6"/>
  <c r="D10" i="6"/>
  <c r="D9" i="6"/>
  <c r="D8" i="6"/>
  <c r="D7" i="6"/>
  <c r="D15" i="6"/>
  <c r="D14" i="6"/>
  <c r="E5" i="6"/>
  <c r="D13" i="5"/>
  <c r="D12" i="5"/>
  <c r="D11" i="5"/>
  <c r="D9" i="5"/>
  <c r="D8" i="5"/>
  <c r="D7" i="5"/>
  <c r="E5" i="5"/>
  <c r="D10" i="4"/>
  <c r="D9" i="4"/>
  <c r="D8" i="4"/>
  <c r="D7" i="4"/>
  <c r="F5" i="4"/>
  <c r="D14" i="3"/>
  <c r="D13" i="3"/>
  <c r="D12" i="3"/>
  <c r="D9" i="3"/>
  <c r="D8" i="3"/>
  <c r="D7" i="3"/>
  <c r="D6" i="3"/>
  <c r="F4" i="3"/>
  <c r="D14" i="2"/>
  <c r="D13" i="2"/>
  <c r="D12" i="2"/>
  <c r="D11" i="2"/>
  <c r="D10" i="2"/>
  <c r="D9" i="2"/>
  <c r="D8" i="2"/>
  <c r="D7" i="2"/>
  <c r="D6" i="2"/>
  <c r="G4" i="2"/>
  <c r="J5" i="1"/>
</calcChain>
</file>

<file path=xl/sharedStrings.xml><?xml version="1.0" encoding="utf-8"?>
<sst xmlns="http://schemas.openxmlformats.org/spreadsheetml/2006/main" count="339" uniqueCount="208">
  <si>
    <t>COOPERATIVA REDUCTO LTDA</t>
  </si>
  <si>
    <t>PLANILLA DE FUNCIONARIOS POR SUCURSAL - CASA MATRIZ</t>
  </si>
  <si>
    <t>ULTIMA ACTUALIZACION</t>
  </si>
  <si>
    <t>Nº DE SOCIO</t>
  </si>
  <si>
    <t>CI</t>
  </si>
  <si>
    <t>CUMPLEAÑOS</t>
  </si>
  <si>
    <t>DIAS PARA CUMPLEAÑOS</t>
  </si>
  <si>
    <t>FECHA DE INGRESO</t>
  </si>
  <si>
    <t xml:space="preserve">CARGO </t>
  </si>
  <si>
    <t>NOMINA</t>
  </si>
  <si>
    <t>PLUS</t>
  </si>
  <si>
    <t>NOMBRE Y APELLIDO * CENTRAL</t>
  </si>
  <si>
    <t xml:space="preserve">Oficial de Cumplimiento </t>
  </si>
  <si>
    <t>Lilian Marlene Ocampos</t>
  </si>
  <si>
    <t xml:space="preserve">Asesor Financiero </t>
  </si>
  <si>
    <t xml:space="preserve">Seguridad Guardia </t>
  </si>
  <si>
    <t>Oscar Ramon Ledezma</t>
  </si>
  <si>
    <t xml:space="preserve">Gerente Financiero </t>
  </si>
  <si>
    <t>Angela Rossana Martinez Jara</t>
  </si>
  <si>
    <t xml:space="preserve">Jardinero </t>
  </si>
  <si>
    <t>Anastacio Felix Rojas Enciso</t>
  </si>
  <si>
    <t xml:space="preserve">Enc. De Judiciales </t>
  </si>
  <si>
    <t>Agustin Enrique Negrete Gonzalez</t>
  </si>
  <si>
    <t>Tesorero</t>
  </si>
  <si>
    <t>Jose Daniel Aquino Duarte</t>
  </si>
  <si>
    <t>Oliver Matias Cabral Fretes</t>
  </si>
  <si>
    <t>Enestor Palmerola</t>
  </si>
  <si>
    <t>Jorge Andrés Bernal Colmán</t>
  </si>
  <si>
    <t xml:space="preserve">Cajero </t>
  </si>
  <si>
    <t>Juan Andres Gonzalez Alcaron</t>
  </si>
  <si>
    <t xml:space="preserve">Secretario de Consejo de Adm. </t>
  </si>
  <si>
    <t>Aldo Gustavo Fretes Aranda</t>
  </si>
  <si>
    <t xml:space="preserve">Oficial de Recuperación </t>
  </si>
  <si>
    <t>Elizabeth Miño de Gonzalez</t>
  </si>
  <si>
    <t>Fanny Florentina Ávila Arce</t>
  </si>
  <si>
    <t>Limpieza</t>
  </si>
  <si>
    <t xml:space="preserve">Liboria Raquel Rojas Galeano </t>
  </si>
  <si>
    <t xml:space="preserve">Jefatura de Contabilidad </t>
  </si>
  <si>
    <t xml:space="preserve">Jessica Natalia Mendoza Aguilera </t>
  </si>
  <si>
    <t xml:space="preserve">Jefatura  de Informàtica </t>
  </si>
  <si>
    <t>Jose Daniel Ayala Benitez</t>
  </si>
  <si>
    <t>Nimio Rafael Romero</t>
  </si>
  <si>
    <t>Iset Almedes Cabrera Ferreira</t>
  </si>
  <si>
    <t>Canales y medios Electrónicos</t>
  </si>
  <si>
    <t>Liliana Jazmín Acosta Palmerola</t>
  </si>
  <si>
    <t>Comedor Reducto</t>
  </si>
  <si>
    <t>Silveria Alvarenga de Alonso</t>
  </si>
  <si>
    <t>Auxiliar Contable</t>
  </si>
  <si>
    <t>Lucas Orlando Pereira Ozuna</t>
  </si>
  <si>
    <t>Encargado Comercial</t>
  </si>
  <si>
    <t>Victor Alfredo Martinez Palacios</t>
  </si>
  <si>
    <t xml:space="preserve">Asesora Jurìdica </t>
  </si>
  <si>
    <t>Rosa Jara de Arevalos</t>
  </si>
  <si>
    <t>Víctor Emanuel Villalba Fernández</t>
  </si>
  <si>
    <t xml:space="preserve">Auxiliar de contabilidad </t>
  </si>
  <si>
    <t xml:space="preserve">Dahiana Araceli Ocampos </t>
  </si>
  <si>
    <t xml:space="preserve">Miguel Angel Quintana </t>
  </si>
  <si>
    <t xml:space="preserve">Cobrador </t>
  </si>
  <si>
    <t>Miguel Agüero Flecha</t>
  </si>
  <si>
    <t>Jefe Recuperación</t>
  </si>
  <si>
    <t>Edgar Valiente Valdez</t>
  </si>
  <si>
    <t>Mantenimiento</t>
  </si>
  <si>
    <t>Zunilda Aguilera de Mendoza</t>
  </si>
  <si>
    <t xml:space="preserve">Ermelinda Maria Insfran </t>
  </si>
  <si>
    <t>Encargada Dpto. TT.HH</t>
  </si>
  <si>
    <t xml:space="preserve">Camila Noemi Ozuna Cabral </t>
  </si>
  <si>
    <t xml:space="preserve">Alexis Daniel Arce </t>
  </si>
  <si>
    <t>Asesor Financiero</t>
  </si>
  <si>
    <t>Elias Emmanuel Irala Dominguez</t>
  </si>
  <si>
    <t>Araceli Noemí Carvallo</t>
  </si>
  <si>
    <t xml:space="preserve">Asistente de Contabilidad </t>
  </si>
  <si>
    <t>Cinthia Victoria Domingez Ruda</t>
  </si>
  <si>
    <t>Asistete de  TTHH</t>
  </si>
  <si>
    <t>Tobías Cabral Arteta</t>
  </si>
  <si>
    <t>Asesor Jurídico</t>
  </si>
  <si>
    <t>Francisco Ferreira Sanabria</t>
  </si>
  <si>
    <t xml:space="preserve">Aldo Cardozo </t>
  </si>
  <si>
    <t>Auxiliar de Archivo</t>
  </si>
  <si>
    <t>GUSTAVO ADOLFO OLMEDO DUARTE</t>
  </si>
  <si>
    <t>Asesora Financiera</t>
  </si>
  <si>
    <t>Maida Magaly Gómez</t>
  </si>
  <si>
    <t xml:space="preserve">Jefatura de Marketing </t>
  </si>
  <si>
    <t xml:space="preserve">Erardo Daniel Coronel Cardozo </t>
  </si>
  <si>
    <t xml:space="preserve">Dpto Judicial </t>
  </si>
  <si>
    <t>Liz Marlene Gamarra Caballero</t>
  </si>
  <si>
    <t>Fabio Ramón Chavez Chavez</t>
  </si>
  <si>
    <t xml:space="preserve">Gerente General </t>
  </si>
  <si>
    <t>Vidal Aguilera</t>
  </si>
  <si>
    <t>Jose Miguel Arevalos Jara</t>
  </si>
  <si>
    <t>Blas Andrés Alcaraz</t>
  </si>
  <si>
    <t>Asistente de Archivo</t>
  </si>
  <si>
    <t>Eliseo Rios Mencia</t>
  </si>
  <si>
    <t>PLANILLA DE FUNCIONARIOS POR SUCURSAL - SAN LORENZO CENTRO</t>
  </si>
  <si>
    <t>NOMBRE Y APELLIDO * S.L</t>
  </si>
  <si>
    <t>Ramon Guillermo Corvalan Gonzalez</t>
  </si>
  <si>
    <t>Cajera</t>
  </si>
  <si>
    <t>Deysi Villagra</t>
  </si>
  <si>
    <t>Encargada de Sucursal</t>
  </si>
  <si>
    <t>Mariana Martinez de Vallejos</t>
  </si>
  <si>
    <t>Jose Antonio Arma</t>
  </si>
  <si>
    <t>Atención al Socio</t>
  </si>
  <si>
    <t>Alejandra Jara de Martinez</t>
  </si>
  <si>
    <t>Sub Tesorera</t>
  </si>
  <si>
    <t>Silvia Raquel Vera Lugo</t>
  </si>
  <si>
    <t>Asesora Fianciera</t>
  </si>
  <si>
    <t>Raquel Riveros</t>
  </si>
  <si>
    <t>Personal de Mantenimiento</t>
  </si>
  <si>
    <t>ROCIO ARECO GIMENEZ</t>
  </si>
  <si>
    <t>Marcelo Daniel Pedrozo</t>
  </si>
  <si>
    <t xml:space="preserve">Sabino Benitez </t>
  </si>
  <si>
    <t>PLANILLA DE FUNCIONARIOS POR SUCURSAL - SUCURSAL 5</t>
  </si>
  <si>
    <t>NOMBRE Y APELLIDO * SUC 5</t>
  </si>
  <si>
    <t>Cesar Ramón  Ibarrola Figueredo</t>
  </si>
  <si>
    <t>Carlos Eduardo Barrios Matto</t>
  </si>
  <si>
    <t xml:space="preserve">Delia Beatriz Torres </t>
  </si>
  <si>
    <t>Sara Natalia Leiva Coronel</t>
  </si>
  <si>
    <t>Pablo Manuel Acosta</t>
  </si>
  <si>
    <t>Encargado de Sucursal</t>
  </si>
  <si>
    <t xml:space="preserve">Diego Armando Figueredo Espinoza </t>
  </si>
  <si>
    <t>Maria Elizabeth  Villalba Arguello</t>
  </si>
  <si>
    <t>Auxiliar de Tesorería</t>
  </si>
  <si>
    <t>Lucas Enamnuel Gomez Villalba</t>
  </si>
  <si>
    <t>Romina Raquel Martínez Estigarribia</t>
  </si>
  <si>
    <t>PLANILLA DE FUNCIONARIOS POR SUCURSAL - C.M.R</t>
  </si>
  <si>
    <t>NOMBRE Y APELLIDO * C.M.R</t>
  </si>
  <si>
    <t xml:space="preserve">Regente </t>
  </si>
  <si>
    <t xml:space="preserve">Hernan Pereira </t>
  </si>
  <si>
    <t>Medico Odontologo</t>
  </si>
  <si>
    <t>LUCAS EZEQUIEL AMARILLA DUARTE</t>
  </si>
  <si>
    <t xml:space="preserve">Medicina Familiar </t>
  </si>
  <si>
    <t>Andrea Pereira</t>
  </si>
  <si>
    <t>PLANILLA DE FUNCIONARIOS POR SUCURSAL - HERNANDARIAS</t>
  </si>
  <si>
    <t>NOMBRE Y APELLIDO * HERN.</t>
  </si>
  <si>
    <t>Lorena Concepción Ferreira Ayala</t>
  </si>
  <si>
    <t>Ana Ester Rodriguez Mereles</t>
  </si>
  <si>
    <t xml:space="preserve">Encargado de Sucursal </t>
  </si>
  <si>
    <t>Marcos Lesme Gonzalez</t>
  </si>
  <si>
    <t xml:space="preserve">Fredy Cardozo Duarte </t>
  </si>
  <si>
    <t xml:space="preserve">Jeferson Emmanuel Meza Velotto </t>
  </si>
  <si>
    <t>Cobrador</t>
  </si>
  <si>
    <t>Fernando Rodríguez</t>
  </si>
  <si>
    <t>PLANILLA DE FUNCIONARIOS POR SUCURSAL - VILLARRICA</t>
  </si>
  <si>
    <t>NOMBRE Y APELLIDO * V.C.A</t>
  </si>
  <si>
    <t>Diego Armando Leite Chamorro</t>
  </si>
  <si>
    <t xml:space="preserve">Ivan Moises Saucedo </t>
  </si>
  <si>
    <t>Dalia Elizabeth Guerreros Troche</t>
  </si>
  <si>
    <t xml:space="preserve">Cobrador/Guardia </t>
  </si>
  <si>
    <t xml:space="preserve">Artemio Figueredo </t>
  </si>
  <si>
    <t>Ernesto Techeira Loza</t>
  </si>
  <si>
    <t>Pedro Juan Garcete Burhing</t>
  </si>
  <si>
    <t>Abner Josué Acosta Suáres</t>
  </si>
  <si>
    <t>Roberto David Marecos Arzamendia</t>
  </si>
  <si>
    <t>Victor Adrián Roa Fernández</t>
  </si>
  <si>
    <t>PLANILLA DE FUNCIONARIOS POR SUCURSAL - C.D.E</t>
  </si>
  <si>
    <t>NOMBRE Y APELLIDO * CDE</t>
  </si>
  <si>
    <t>Victor Ariel Maldonado</t>
  </si>
  <si>
    <t>Celso Edgar Martinez</t>
  </si>
  <si>
    <t>Coordinadora Adminis.</t>
  </si>
  <si>
    <t>Graciela  Benitez Segovia</t>
  </si>
  <si>
    <t>Ahorro y ATS</t>
  </si>
  <si>
    <t>Deivis Engelberto Lopez</t>
  </si>
  <si>
    <t xml:space="preserve">Cajera </t>
  </si>
  <si>
    <t>Celia Leiva Orué</t>
  </si>
  <si>
    <t>Roberto Oviedo Paredes</t>
  </si>
  <si>
    <t xml:space="preserve">Asesor Financiero Consumo </t>
  </si>
  <si>
    <t xml:space="preserve">Araceli Noemi Arguello Rolon </t>
  </si>
  <si>
    <t xml:space="preserve">Juan Josè Rodas </t>
  </si>
  <si>
    <t>Julio Cesar Benitez</t>
  </si>
  <si>
    <t>Benjamín Dávalos Meza</t>
  </si>
  <si>
    <t>Isaac Nicanor Ruíz Díaz Villalba</t>
  </si>
  <si>
    <t>Jorge Rafael Cuevas</t>
  </si>
  <si>
    <t>Tarjetas</t>
  </si>
  <si>
    <t>Andrés Ramón Invernizzi Gamarra</t>
  </si>
  <si>
    <t>Carmen Paola Alvarenga</t>
  </si>
  <si>
    <t>lunes, 19 de enero de 2026</t>
  </si>
  <si>
    <t>DIANA ISABEL MORAGA CUBA</t>
  </si>
  <si>
    <t>Coordinador De Tesoreria</t>
  </si>
  <si>
    <t>JUAN MANUEL DOLDAN RIVERO</t>
  </si>
  <si>
    <t>Asesor de credito</t>
  </si>
  <si>
    <t>RUBEN DARIO SANCHEZ AREVALOS</t>
  </si>
  <si>
    <t>CARLOS ISABELINO BOGARIN</t>
  </si>
  <si>
    <t>GUILLERMO FABIAN BASUALDO SALINAS</t>
  </si>
  <si>
    <t>Enfermero/Recepcionista</t>
  </si>
  <si>
    <t>Atencion al Socio</t>
  </si>
  <si>
    <t>JADE CAROLINA SARUBBI AMARILLA</t>
  </si>
  <si>
    <t>ANA ABIGAIL LOPEZ DUARTE</t>
  </si>
  <si>
    <t>Cajero</t>
  </si>
  <si>
    <t>ALEX FABIAN RAMIRES AREVALOS</t>
  </si>
  <si>
    <t>CHRISTHIAN LUIS LOPEZ GAONA</t>
  </si>
  <si>
    <t>KEILA NOEMI MENDOZA AYALA</t>
  </si>
  <si>
    <t>UBALDO FABIAN LOPEZ ROMAN</t>
  </si>
  <si>
    <t>ILDA MARLENE ORREGO ARMOA</t>
  </si>
  <si>
    <t>DANIA LIZ BURGOS AGUILERA</t>
  </si>
  <si>
    <t>IRMA MERCEDES BOGADO AREVALO</t>
  </si>
  <si>
    <t>Subtesorera Sanlorenzo</t>
  </si>
  <si>
    <t>EMANUEL JESUS ALFREDO ESPINOLA ZARATE</t>
  </si>
  <si>
    <t>IVAN ARIEL DURE CAMACHO</t>
  </si>
  <si>
    <t>OSCAR RODRIGO SARUBBI BARRETO</t>
  </si>
  <si>
    <t>Erika Magali Gonzalez Molinas</t>
  </si>
  <si>
    <t>Auxiliar de Tesoreria</t>
  </si>
  <si>
    <t>Desarrollador Interno</t>
  </si>
  <si>
    <t>Atencion al socio</t>
  </si>
  <si>
    <t>Asesor de Credito</t>
  </si>
  <si>
    <t>INGRID PAOLA OCAMPOS VERA</t>
  </si>
  <si>
    <t>Encargada de Tarjetas</t>
  </si>
  <si>
    <t>Subtesorera</t>
  </si>
  <si>
    <t>PERSONAL TERCERIZADO</t>
  </si>
  <si>
    <t>TAMARA BIANCA PRIETO LUGO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</si>
</sst>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2" formatCode="_ &quot;₲&quot;\ * #,##0_ ;_ &quot;₲&quot;\ * \-#,##0_ ;_ &quot;₲&quot;\ * &quot;-&quot;_ ;_ @_ "/>
    <numFmt numFmtId="41" formatCode="_ * #,##0_ ;_ * \-#,##0_ ;_ * &quot;-&quot;_ ;_ @_ "/>
    <numFmt numFmtId="164" formatCode="d/m/yyyy&quot; &quot;hh&quot;:&quot;mm"/>
    <numFmt numFmtId="165" formatCode="[$-F800]dddd\,\ mmmm\ dd\,\ yyyy"/>
    <numFmt numFmtId="166" formatCode="&quot;Gs&quot;\ #,##0_);\(&quot;Gs&quot;\ #,##0\)"/>
  </numFmts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5"/>
      <color rgb="FF000000"/>
      <name val="Times New Roman"/>
      <family val="1"/>
    </font>
    <font>
      <sz val="18"/>
      <color theme="1"/>
      <name val="Calibri"/>
      <family val="2"/>
      <scheme val="minor"/>
    </font>
    <font>
      <sz val="22"/>
      <color theme="1"/>
      <name val="Calibri"/>
      <family val="2"/>
      <scheme val="minor"/>
    </font>
    <font>
      <b/>
      <sz val="22"/>
      <color rgb="FF000000"/>
      <name val="Times New Roman"/>
      <family val="1"/>
    </font>
    <font>
      <sz val="36"/>
      <color theme="1"/>
      <name val="Calibri"/>
      <family val="2"/>
      <scheme val="minor"/>
    </font>
    <font>
      <b/>
      <sz val="36"/>
      <color rgb="FF000000"/>
      <name val="Times New Roman"/>
      <family val="1"/>
    </font>
    <font>
      <sz val="24"/>
      <color theme="1"/>
      <name val="Calibri"/>
      <family val="2"/>
      <scheme val="minor"/>
    </font>
    <font>
      <b/>
      <sz val="26"/>
      <color rgb="FF000000"/>
      <name val="Times New Roman"/>
      <family val="1"/>
    </font>
    <font>
      <b/>
      <sz val="28"/>
      <color rgb="FF000000"/>
      <name val="Times New Roman"/>
      <family val="1"/>
    </font>
    <font>
      <sz val="48"/>
      <color theme="1"/>
      <name val="Calibri"/>
      <family val="2"/>
      <scheme val="minor"/>
    </font>
    <font>
      <b/>
      <sz val="48"/>
      <color rgb="FF000000"/>
      <name val="Times New Roman"/>
      <family val="1"/>
    </font>
    <font>
      <b/>
      <sz val="72"/>
      <color rgb="FF00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</patternFill>
    </fill>
  </fills>
  <borders count="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41" fontId="1" fillId="0" borderId="0"/>
    <xf numFmtId="42" fontId="1" fillId="0" borderId="0" applyFont="0" applyFill="0" applyBorder="0" applyAlignment="0" applyProtection="0"/>
  </cellStyleXfs>
  <cellXfs count="56">
    <xf numFmtId="0" fontId="0" fillId="0" borderId="0" xfId="0"/>
    <xf numFmtId="0" fontId="3" fillId="0" borderId="0" xfId="0" applyFont="1" applyAlignment="1">
      <alignment horizontal="center" vertical="center"/>
    </xf>
    <xf numFmtId="14" fontId="2" fillId="2" borderId="0" xfId="1" applyNumberFormat="1" applyFont="1" applyFill="1" applyAlignment="1">
      <alignment vertical="center"/>
    </xf>
    <xf numFmtId="0" fontId="6" fillId="2" borderId="0" xfId="0" applyFont="1" applyFill="1"/>
    <xf numFmtId="0" fontId="8" fillId="0" borderId="0" xfId="0" applyFont="1" applyAlignment="1">
      <alignment horizontal="center" vertical="center"/>
    </xf>
    <xf numFmtId="14" fontId="8" fillId="0" borderId="0" xfId="0" applyNumberFormat="1" applyFont="1" applyAlignment="1">
      <alignment horizontal="center" vertical="center"/>
    </xf>
    <xf numFmtId="14" fontId="3" fillId="0" borderId="0" xfId="0" applyNumberFormat="1" applyFont="1" applyAlignment="1">
      <alignment horizontal="center" vertical="center"/>
    </xf>
    <xf numFmtId="3" fontId="3" fillId="0" borderId="0" xfId="0" applyNumberFormat="1" applyFont="1" applyAlignment="1">
      <alignment horizontal="center" vertical="center"/>
    </xf>
    <xf numFmtId="0" fontId="11" fillId="2" borderId="0" xfId="0" applyFont="1" applyFill="1" applyAlignment="1">
      <alignment vertical="center"/>
    </xf>
    <xf numFmtId="0" fontId="0" fillId="2" borderId="0" xfId="0" applyFill="1" applyAlignment="1">
      <alignment horizontal="center" vertical="center"/>
    </xf>
    <xf numFmtId="0" fontId="4" fillId="2" borderId="0" xfId="0" applyFont="1" applyFill="1"/>
    <xf numFmtId="14" fontId="6" fillId="0" borderId="0" xfId="0" applyNumberFormat="1" applyFont="1" applyAlignment="1">
      <alignment horizontal="center" vertical="center"/>
    </xf>
    <xf numFmtId="3" fontId="6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164" fontId="12" fillId="2" borderId="0" xfId="1" applyNumberFormat="1" applyFont="1" applyFill="1" applyAlignment="1">
      <alignment vertical="center"/>
    </xf>
    <xf numFmtId="164" fontId="2" fillId="2" borderId="0" xfId="1" applyNumberFormat="1" applyFont="1" applyFill="1" applyAlignment="1">
      <alignment vertical="center"/>
    </xf>
    <xf numFmtId="164" fontId="7" fillId="2" borderId="0" xfId="1" applyNumberFormat="1" applyFont="1" applyFill="1" applyAlignment="1">
      <alignment vertical="center"/>
    </xf>
    <xf numFmtId="164" fontId="5" fillId="2" borderId="0" xfId="1" applyNumberFormat="1" applyFont="1" applyFill="1" applyAlignment="1">
      <alignment vertical="center"/>
    </xf>
    <xf numFmtId="0" fontId="0" fillId="2" borderId="0" xfId="0" applyFill="1"/>
    <xf numFmtId="3" fontId="0" fillId="2" borderId="0" xfId="0" applyNumberFormat="1" applyFill="1"/>
    <xf numFmtId="0" fontId="6" fillId="2" borderId="0" xfId="0" applyFont="1" applyFill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14" fontId="6" fillId="2" borderId="0" xfId="0" applyNumberFormat="1" applyFont="1" applyFill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41" fontId="2" fillId="2" borderId="0" xfId="1" applyFont="1" applyFill="1" applyAlignment="1">
      <alignment vertical="center"/>
    </xf>
    <xf numFmtId="165" fontId="6" fillId="0" borderId="0" xfId="0" applyNumberFormat="1" applyFont="1" applyAlignment="1">
      <alignment horizontal="center" vertical="center"/>
    </xf>
    <xf numFmtId="166" fontId="6" fillId="2" borderId="0" xfId="0" applyNumberFormat="1" applyFont="1" applyFill="1" applyAlignment="1">
      <alignment horizontal="center" vertical="center"/>
    </xf>
    <xf numFmtId="165" fontId="6" fillId="0" borderId="3" xfId="0" applyNumberFormat="1" applyFont="1" applyBorder="1" applyAlignment="1">
      <alignment horizontal="center" vertical="center"/>
    </xf>
    <xf numFmtId="165" fontId="8" fillId="0" borderId="0" xfId="0" applyNumberFormat="1" applyFont="1" applyAlignment="1">
      <alignment horizontal="center" vertical="center"/>
    </xf>
    <xf numFmtId="165" fontId="3" fillId="0" borderId="0" xfId="0" applyNumberFormat="1" applyFont="1" applyAlignment="1">
      <alignment horizontal="center" vertical="center"/>
    </xf>
    <xf numFmtId="41" fontId="7" fillId="2" borderId="0" xfId="1" applyFont="1" applyFill="1" applyAlignment="1">
      <alignment vertical="center"/>
    </xf>
    <xf numFmtId="41" fontId="5" fillId="2" borderId="0" xfId="1" applyFont="1" applyFill="1" applyAlignment="1">
      <alignment vertical="center"/>
    </xf>
    <xf numFmtId="42" fontId="3" fillId="0" borderId="0" xfId="2" applyFont="1" applyAlignment="1">
      <alignment horizontal="center" vertical="center"/>
    </xf>
    <xf numFmtId="42" fontId="8" fillId="0" borderId="0" xfId="2" applyFont="1" applyAlignment="1">
      <alignment horizontal="center" vertical="center"/>
    </xf>
    <xf numFmtId="42" fontId="6" fillId="0" borderId="0" xfId="2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42" fontId="11" fillId="0" borderId="0" xfId="2" applyFont="1" applyAlignment="1">
      <alignment horizontal="center" vertical="center"/>
    </xf>
    <xf numFmtId="41" fontId="12" fillId="2" borderId="0" xfId="1" applyFont="1" applyFill="1" applyAlignment="1">
      <alignment horizontal="right" vertical="center"/>
    </xf>
    <xf numFmtId="0" fontId="0" fillId="2" borderId="0" xfId="0" applyFill="1"/>
    <xf numFmtId="41" fontId="12" fillId="2" borderId="0" xfId="1" applyFont="1" applyFill="1" applyAlignment="1">
      <alignment horizontal="center" vertical="center"/>
    </xf>
    <xf numFmtId="3" fontId="0" fillId="2" borderId="0" xfId="0" applyNumberFormat="1" applyFill="1"/>
    <xf numFmtId="41" fontId="13" fillId="2" borderId="0" xfId="1" applyFont="1" applyFill="1" applyAlignment="1">
      <alignment horizontal="center" vertical="center"/>
    </xf>
    <xf numFmtId="164" fontId="7" fillId="2" borderId="0" xfId="1" applyNumberFormat="1" applyFont="1" applyFill="1" applyAlignment="1">
      <alignment horizontal="left" vertical="center"/>
    </xf>
    <xf numFmtId="0" fontId="0" fillId="0" borderId="0" xfId="0"/>
    <xf numFmtId="41" fontId="7" fillId="2" borderId="0" xfId="1" applyFont="1" applyFill="1" applyAlignment="1">
      <alignment horizontal="left" vertical="center"/>
    </xf>
    <xf numFmtId="41" fontId="7" fillId="2" borderId="0" xfId="1" applyFont="1" applyFill="1" applyAlignment="1">
      <alignment horizontal="center" vertical="center"/>
    </xf>
    <xf numFmtId="41" fontId="10" fillId="2" borderId="0" xfId="1" applyFont="1" applyFill="1" applyAlignment="1">
      <alignment horizontal="center" vertical="center"/>
    </xf>
    <xf numFmtId="41" fontId="5" fillId="2" borderId="0" xfId="1" applyFont="1" applyFill="1" applyAlignment="1">
      <alignment horizontal="center" vertical="center"/>
    </xf>
    <xf numFmtId="41" fontId="9" fillId="2" borderId="0" xfId="1" applyFont="1" applyFill="1" applyAlignment="1">
      <alignment horizontal="center" vertical="center"/>
    </xf>
    <xf numFmtId="0" fontId="6" fillId="0" borderId="0" xfId="0" applyFont="1" applyBorder="1" applyAlignment="1">
      <alignment horizontal="center" vertical="center"/>
    </xf>
    <xf numFmtId="165" fontId="6" fillId="0" borderId="0" xfId="0" applyNumberFormat="1" applyFont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/>
    </xf>
    <xf numFmtId="14" fontId="6" fillId="2" borderId="3" xfId="0" applyNumberFormat="1" applyFont="1" applyFill="1" applyBorder="1" applyAlignment="1">
      <alignment horizontal="center" vertical="center"/>
    </xf>
    <xf numFmtId="166" fontId="6" fillId="2" borderId="1" xfId="0" applyNumberFormat="1" applyFont="1" applyFill="1" applyBorder="1" applyAlignment="1">
      <alignment horizontal="center" vertical="center"/>
    </xf>
    <xf numFmtId="0" fontId="8" fillId="2" borderId="0" xfId="0" applyFont="1" applyFill="1"/>
  </cellXfs>
  <cellStyles count="3">
    <cellStyle name="Millares [0]" xfId="1" xr:uid="{00000000-0005-0000-0000-000001000000}"/>
    <cellStyle name="Moneda [0]" xfId="2" builtinId="7"/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2045741</xdr:colOff>
      <xdr:row>0</xdr:row>
      <xdr:rowOff>238124</xdr:rowOff>
    </xdr:from>
    <xdr:ext cx="4121696" cy="4112027"/>
    <xdr:pic>
      <xdr:nvPicPr>
        <xdr:cNvPr id="2" name="/xl/media/image1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twoCellAnchor editAs="oneCell">
    <xdr:from>
      <xdr:col>4</xdr:col>
      <xdr:colOff>2057400</xdr:colOff>
      <xdr:row>0</xdr:row>
      <xdr:rowOff>238125</xdr:rowOff>
    </xdr:from>
    <xdr:to>
      <xdr:col>6</xdr:col>
      <xdr:colOff>1619250</xdr:colOff>
      <xdr:row>5</xdr:row>
      <xdr:rowOff>47625</xdr:rowOff>
    </xdr:to>
    <xdr:pic>
      <xdr:nvPicPr>
        <xdr:cNvPr id="1025" name="/xl/media/image1.png">
          <a:extLst>
            <a:ext uri="{FF2B5EF4-FFF2-40B4-BE49-F238E27FC236}">
              <a16:creationId xmlns:a16="http://schemas.microsoft.com/office/drawing/2014/main" id="{85E6990E-2EC6-F7E7-F041-3CA3111CD5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57750" y="238125"/>
          <a:ext cx="4133850" cy="411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2057400</xdr:colOff>
      <xdr:row>0</xdr:row>
      <xdr:rowOff>238125</xdr:rowOff>
    </xdr:from>
    <xdr:to>
      <xdr:col>6</xdr:col>
      <xdr:colOff>1619250</xdr:colOff>
      <xdr:row>5</xdr:row>
      <xdr:rowOff>47625</xdr:rowOff>
    </xdr:to>
    <xdr:pic>
      <xdr:nvPicPr>
        <xdr:cNvPr id="1026" name="Picture 2">
          <a:extLst>
            <a:ext uri="{FF2B5EF4-FFF2-40B4-BE49-F238E27FC236}">
              <a16:creationId xmlns:a16="http://schemas.microsoft.com/office/drawing/2014/main" id="{A5F1E28E-BD9B-D9B8-77CB-DD8998E1B8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57750" y="238125"/>
          <a:ext cx="4133850" cy="411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2066925</xdr:colOff>
      <xdr:row>0</xdr:row>
      <xdr:rowOff>238125</xdr:rowOff>
    </xdr:from>
    <xdr:to>
      <xdr:col>6</xdr:col>
      <xdr:colOff>1609725</xdr:colOff>
      <xdr:row>5</xdr:row>
      <xdr:rowOff>47625</xdr:rowOff>
    </xdr:to>
    <xdr:pic>
      <xdr:nvPicPr>
        <xdr:cNvPr id="3" name="/xl/media/image1.png">
          <a:extLst>
            <a:ext uri="{FF2B5EF4-FFF2-40B4-BE49-F238E27FC236}">
              <a16:creationId xmlns:a16="http://schemas.microsoft.com/office/drawing/2014/main" id="{EB17697D-F07B-D0F3-94CC-3E92541CBB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67275" y="238125"/>
          <a:ext cx="4114800" cy="411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2066925</xdr:colOff>
      <xdr:row>0</xdr:row>
      <xdr:rowOff>238125</xdr:rowOff>
    </xdr:from>
    <xdr:to>
      <xdr:col>6</xdr:col>
      <xdr:colOff>1609725</xdr:colOff>
      <xdr:row>5</xdr:row>
      <xdr:rowOff>47625</xdr:rowOff>
    </xdr:to>
    <xdr:pic>
      <xdr:nvPicPr>
        <xdr:cNvPr id="4" name="Picture 2">
          <a:extLst>
            <a:ext uri="{FF2B5EF4-FFF2-40B4-BE49-F238E27FC236}">
              <a16:creationId xmlns:a16="http://schemas.microsoft.com/office/drawing/2014/main" id="{08351929-F25D-499A-A055-C5C9C00F29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67275" y="238125"/>
          <a:ext cx="4114800" cy="411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2066925</xdr:colOff>
      <xdr:row>0</xdr:row>
      <xdr:rowOff>238125</xdr:rowOff>
    </xdr:from>
    <xdr:to>
      <xdr:col>6</xdr:col>
      <xdr:colOff>1609725</xdr:colOff>
      <xdr:row>5</xdr:row>
      <xdr:rowOff>47625</xdr:rowOff>
    </xdr:to>
    <xdr:pic>
      <xdr:nvPicPr>
        <xdr:cNvPr id="1027" name="Picture 3">
          <a:extLst>
            <a:ext uri="{FF2B5EF4-FFF2-40B4-BE49-F238E27FC236}">
              <a16:creationId xmlns:a16="http://schemas.microsoft.com/office/drawing/2014/main" id="{C481696D-33F0-B1AC-176A-E706E76C2F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67275" y="238125"/>
          <a:ext cx="4114800" cy="411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2066925</xdr:colOff>
      <xdr:row>0</xdr:row>
      <xdr:rowOff>238125</xdr:rowOff>
    </xdr:from>
    <xdr:to>
      <xdr:col>6</xdr:col>
      <xdr:colOff>1609725</xdr:colOff>
      <xdr:row>5</xdr:row>
      <xdr:rowOff>47625</xdr:rowOff>
    </xdr:to>
    <xdr:pic>
      <xdr:nvPicPr>
        <xdr:cNvPr id="1028" name="Picture 4">
          <a:extLst>
            <a:ext uri="{FF2B5EF4-FFF2-40B4-BE49-F238E27FC236}">
              <a16:creationId xmlns:a16="http://schemas.microsoft.com/office/drawing/2014/main" id="{76FD551A-6190-5F2A-82F1-8E4980030B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67275" y="238125"/>
          <a:ext cx="4114800" cy="411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2066925</xdr:colOff>
      <xdr:row>0</xdr:row>
      <xdr:rowOff>238125</xdr:rowOff>
    </xdr:from>
    <xdr:to>
      <xdr:col>6</xdr:col>
      <xdr:colOff>1609725</xdr:colOff>
      <xdr:row>5</xdr:row>
      <xdr:rowOff>47625</xdr:rowOff>
    </xdr:to>
    <xdr:pic>
      <xdr:nvPicPr>
        <xdr:cNvPr id="1029" name="Picture 5">
          <a:extLst>
            <a:ext uri="{FF2B5EF4-FFF2-40B4-BE49-F238E27FC236}">
              <a16:creationId xmlns:a16="http://schemas.microsoft.com/office/drawing/2014/main" id="{FBCBE84E-B95B-9F54-2ADB-3DAF8A2DBB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67275" y="238125"/>
          <a:ext cx="4114800" cy="411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2057400</xdr:colOff>
      <xdr:row>0</xdr:row>
      <xdr:rowOff>238125</xdr:rowOff>
    </xdr:from>
    <xdr:to>
      <xdr:col>6</xdr:col>
      <xdr:colOff>1609725</xdr:colOff>
      <xdr:row>5</xdr:row>
      <xdr:rowOff>47625</xdr:rowOff>
    </xdr:to>
    <xdr:pic>
      <xdr:nvPicPr>
        <xdr:cNvPr id="2049" name="/xl/media/image1.png">
          <a:extLst>
            <a:ext uri="{FF2B5EF4-FFF2-40B4-BE49-F238E27FC236}">
              <a16:creationId xmlns:a16="http://schemas.microsoft.com/office/drawing/2014/main" id="{B3DD60AD-5D2C-8835-D88F-6466C93411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57750" y="238125"/>
          <a:ext cx="4124325" cy="411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2057400</xdr:colOff>
      <xdr:row>0</xdr:row>
      <xdr:rowOff>238125</xdr:rowOff>
    </xdr:from>
    <xdr:to>
      <xdr:col>6</xdr:col>
      <xdr:colOff>1609725</xdr:colOff>
      <xdr:row>5</xdr:row>
      <xdr:rowOff>47625</xdr:rowOff>
    </xdr:to>
    <xdr:pic>
      <xdr:nvPicPr>
        <xdr:cNvPr id="2050" name="Picture 2">
          <a:extLst>
            <a:ext uri="{FF2B5EF4-FFF2-40B4-BE49-F238E27FC236}">
              <a16:creationId xmlns:a16="http://schemas.microsoft.com/office/drawing/2014/main" id="{7E9554C1-FF57-69D3-F892-F766FCF997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57750" y="238125"/>
          <a:ext cx="4124325" cy="411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952500</xdr:colOff>
      <xdr:row>0</xdr:row>
      <xdr:rowOff>155865</xdr:rowOff>
    </xdr:from>
    <xdr:ext cx="2360811" cy="2355272"/>
    <xdr:pic>
      <xdr:nvPicPr>
        <xdr:cNvPr id="2" name="/xl/media/image2.png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517071</xdr:colOff>
      <xdr:row>0</xdr:row>
      <xdr:rowOff>0</xdr:rowOff>
    </xdr:from>
    <xdr:ext cx="2068286" cy="2063434"/>
    <xdr:pic>
      <xdr:nvPicPr>
        <xdr:cNvPr id="2" name="/xl/media/image3.png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605118</xdr:colOff>
      <xdr:row>0</xdr:row>
      <xdr:rowOff>67237</xdr:rowOff>
    </xdr:from>
    <xdr:ext cx="1550048" cy="1546412"/>
    <xdr:pic>
      <xdr:nvPicPr>
        <xdr:cNvPr id="2" name="/xl/media/image6.png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1042148</xdr:colOff>
      <xdr:row>0</xdr:row>
      <xdr:rowOff>0</xdr:rowOff>
    </xdr:from>
    <xdr:ext cx="1467970" cy="1464526"/>
    <xdr:pic>
      <xdr:nvPicPr>
        <xdr:cNvPr id="2" name="/xl/media/image4.png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246529</xdr:colOff>
      <xdr:row>0</xdr:row>
      <xdr:rowOff>1</xdr:rowOff>
    </xdr:from>
    <xdr:ext cx="1456765" cy="1453348"/>
    <xdr:pic>
      <xdr:nvPicPr>
        <xdr:cNvPr id="2" name="/xl/media/image5.png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319877</xdr:colOff>
      <xdr:row>0</xdr:row>
      <xdr:rowOff>0</xdr:rowOff>
    </xdr:from>
    <xdr:ext cx="1372211" cy="1368992"/>
    <xdr:pic>
      <xdr:nvPicPr>
        <xdr:cNvPr id="2" name="/xl/media/image7.png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a1" displayName="Tabla1" ref="E6:M54">
  <autoFilter ref="E6:M54" xr:uid="{00000000-0009-0000-0100-000001000000}"/>
  <sortState xmlns:xlrd2="http://schemas.microsoft.com/office/spreadsheetml/2017/richdata2" ref="E7:M54">
    <sortCondition ref="I6:I54"/>
  </sortState>
  <tableColumns count="9">
    <tableColumn id="1" xr3:uid="{00000000-0010-0000-0000-000001000000}" name="Nº DE SOCIO"/>
    <tableColumn id="2" xr3:uid="{00000000-0010-0000-0000-000002000000}" name="CI"/>
    <tableColumn id="7" xr3:uid="{00000000-0010-0000-0000-000007000000}" name="CUMPLEAÑOS"/>
    <tableColumn id="6" xr3:uid="{00000000-0010-0000-0000-000006000000}" name="DIAS PARA CUMPLEAÑOS"/>
    <tableColumn id="3" xr3:uid="{00000000-0010-0000-0000-000003000000}" name="FECHA DE INGRESO"/>
    <tableColumn id="4" xr3:uid="{00000000-0010-0000-0000-000004000000}" name="CARGO "/>
    <tableColumn id="9" xr3:uid="{00000000-0010-0000-0000-000009000000}" name="NOMINA" dataCellStyle="Moneda [0]"/>
    <tableColumn id="10" xr3:uid="{00000000-0010-0000-0000-00000A000000}" name="PLUS" dataCellStyle="Moneda [0]"/>
    <tableColumn id="5" xr3:uid="{00000000-0010-0000-0000-000005000000}" name="NOMBRE Y APELLIDO * CENTRAL"/>
  </tableColumns>
  <tableStyleInfo name="TableStyleLight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a13" displayName="Tabla13" ref="A5:I60">
  <autoFilter ref="A5:I60" xr:uid="{00000000-0009-0000-0100-000002000000}"/>
  <sortState xmlns:xlrd2="http://schemas.microsoft.com/office/spreadsheetml/2017/richdata2" ref="A6:I60">
    <sortCondition ref="D5:D60"/>
  </sortState>
  <tableColumns count="9">
    <tableColumn id="1" xr3:uid="{00000000-0010-0000-0100-000001000000}" name="Nº DE SOCIO"/>
    <tableColumn id="2" xr3:uid="{00000000-0010-0000-0100-000002000000}" name="CI"/>
    <tableColumn id="6" xr3:uid="{00000000-0010-0000-0100-000006000000}" name="CUMPLEAÑOS"/>
    <tableColumn id="9" xr3:uid="{00000000-0010-0000-0100-000009000000}" name="DIAS PARA CUMPLEAÑOS"/>
    <tableColumn id="3" xr3:uid="{00000000-0010-0000-0100-000003000000}" name="FECHA DE INGRESO"/>
    <tableColumn id="4" xr3:uid="{00000000-0010-0000-0100-000004000000}" name="CARGO "/>
    <tableColumn id="8" xr3:uid="{00000000-0010-0000-0100-000008000000}" name="NOMINA"/>
    <tableColumn id="7" xr3:uid="{00000000-0010-0000-0100-000007000000}" name="PLUS"/>
    <tableColumn id="5" xr3:uid="{00000000-0010-0000-0100-000005000000}" name="NOMBRE Y APELLIDO * S.L"/>
  </tableColumns>
  <tableStyleInfo name="TableStyleLight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a134" displayName="Tabla134" ref="A5:I59">
  <autoFilter ref="A5:I59" xr:uid="{00000000-0009-0000-0100-000003000000}"/>
  <sortState xmlns:xlrd2="http://schemas.microsoft.com/office/spreadsheetml/2017/richdata2" ref="A6:I59">
    <sortCondition ref="D5:D59"/>
  </sortState>
  <tableColumns count="9">
    <tableColumn id="1" xr3:uid="{00000000-0010-0000-0200-000001000000}" name="Nº DE SOCIO"/>
    <tableColumn id="2" xr3:uid="{00000000-0010-0000-0200-000002000000}" name="CI"/>
    <tableColumn id="8" xr3:uid="{00000000-0010-0000-0200-000008000000}" name="CUMPLEAÑOS"/>
    <tableColumn id="9" xr3:uid="{00000000-0010-0000-0200-000009000000}" name="DIAS PARA CUMPLEAÑOS"/>
    <tableColumn id="3" xr3:uid="{00000000-0010-0000-0200-000003000000}" name="FECHA DE INGRESO"/>
    <tableColumn id="4" xr3:uid="{00000000-0010-0000-0200-000004000000}" name="CARGO "/>
    <tableColumn id="6" xr3:uid="{00000000-0010-0000-0200-000006000000}" name="NOMINA"/>
    <tableColumn id="7" xr3:uid="{00000000-0010-0000-0200-000007000000}" name="PLUS"/>
    <tableColumn id="5" xr3:uid="{00000000-0010-0000-0200-000005000000}" name="NOMBRE Y APELLIDO * SUC 5"/>
  </tableColumns>
  <tableStyleInfo name="TableStyleLight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abla134567" displayName="Tabla134567" ref="A6:I63">
  <autoFilter ref="A6:I63" xr:uid="{00000000-0009-0000-0100-000006000000}"/>
  <sortState xmlns:xlrd2="http://schemas.microsoft.com/office/spreadsheetml/2017/richdata2" ref="A7:I63">
    <sortCondition ref="D6:D63"/>
  </sortState>
  <tableColumns count="9">
    <tableColumn id="1" xr3:uid="{00000000-0010-0000-0500-000001000000}" name="Nº DE SOCIO"/>
    <tableColumn id="2" xr3:uid="{00000000-0010-0000-0500-000002000000}" name="CI"/>
    <tableColumn id="8" xr3:uid="{00000000-0010-0000-0500-000008000000}" name="CUMPLEAÑOS"/>
    <tableColumn id="9" xr3:uid="{00000000-0010-0000-0500-000009000000}" name="DIAS PARA CUMPLEAÑOS"/>
    <tableColumn id="3" xr3:uid="{00000000-0010-0000-0500-000003000000}" name="FECHA DE INGRESO"/>
    <tableColumn id="4" xr3:uid="{00000000-0010-0000-0500-000004000000}" name="CARGO "/>
    <tableColumn id="7" xr3:uid="{00000000-0010-0000-0500-000007000000}" name="NOMINA"/>
    <tableColumn id="6" xr3:uid="{00000000-0010-0000-0500-000006000000}" name="PLUS"/>
    <tableColumn id="5" xr3:uid="{00000000-0010-0000-0500-000005000000}" name="NOMBRE Y APELLIDO * V.C.A"/>
  </tableColumns>
  <tableStyleInfo name="TableStyleLight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la1345" displayName="Tabla1345" ref="A6:I63">
  <autoFilter ref="A6:I63" xr:uid="{00000000-0009-0000-0100-000004000000}"/>
  <tableColumns count="9">
    <tableColumn id="1" xr3:uid="{00000000-0010-0000-0300-000001000000}" name="Nº DE SOCIO"/>
    <tableColumn id="2" xr3:uid="{00000000-0010-0000-0300-000002000000}" name="CI"/>
    <tableColumn id="9" xr3:uid="{00000000-0010-0000-0300-000009000000}" name="CUMPLEAÑOS"/>
    <tableColumn id="6" xr3:uid="{00000000-0010-0000-0300-000006000000}" name="DIAS PARA CUMPLEAÑOS"/>
    <tableColumn id="3" xr3:uid="{00000000-0010-0000-0300-000003000000}" name="FECHA DE INGRESO"/>
    <tableColumn id="4" xr3:uid="{00000000-0010-0000-0300-000004000000}" name="CARGO "/>
    <tableColumn id="8" xr3:uid="{00000000-0010-0000-0300-000008000000}" name="NOMINA"/>
    <tableColumn id="7" xr3:uid="{00000000-0010-0000-0300-000007000000}" name="PLUS"/>
    <tableColumn id="5" xr3:uid="{00000000-0010-0000-0300-000005000000}" name="NOMBRE Y APELLIDO * C.M.R"/>
  </tableColumns>
  <tableStyleInfo name="TableStyleLight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abla13456" displayName="Tabla13456" ref="A6:I61">
  <autoFilter ref="A6:I61" xr:uid="{00000000-0009-0000-0100-000005000000}"/>
  <sortState xmlns:xlrd2="http://schemas.microsoft.com/office/spreadsheetml/2017/richdata2" ref="A7:I61">
    <sortCondition ref="D6:D61"/>
  </sortState>
  <tableColumns count="9">
    <tableColumn id="1" xr3:uid="{00000000-0010-0000-0400-000001000000}" name="Nº DE SOCIO"/>
    <tableColumn id="2" xr3:uid="{00000000-0010-0000-0400-000002000000}" name="CI"/>
    <tableColumn id="6" xr3:uid="{00000000-0010-0000-0400-000006000000}" name="CUMPLEAÑOS"/>
    <tableColumn id="9" xr3:uid="{00000000-0010-0000-0400-000009000000}" name="DIAS PARA CUMPLEAÑOS"/>
    <tableColumn id="3" xr3:uid="{00000000-0010-0000-0400-000003000000}" name="FECHA DE INGRESO"/>
    <tableColumn id="4" xr3:uid="{00000000-0010-0000-0400-000004000000}" name="CARGO "/>
    <tableColumn id="8" xr3:uid="{00000000-0010-0000-0400-000008000000}" name="NOMINA"/>
    <tableColumn id="7" xr3:uid="{00000000-0010-0000-0400-000007000000}" name="PLUS"/>
    <tableColumn id="5" xr3:uid="{00000000-0010-0000-0400-000005000000}" name="NOMBRE Y APELLIDO * HERN."/>
  </tableColumns>
  <tableStyleInfo name="TableStyleLight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Tabla1345678" displayName="Tabla1345678" ref="A6:I59">
  <autoFilter ref="A6:I59" xr:uid="{00000000-0009-0000-0100-000007000000}"/>
  <sortState xmlns:xlrd2="http://schemas.microsoft.com/office/spreadsheetml/2017/richdata2" ref="A7:I59">
    <sortCondition ref="D6:D59"/>
  </sortState>
  <tableColumns count="9">
    <tableColumn id="1" xr3:uid="{00000000-0010-0000-0600-000001000000}" name="Nº DE SOCIO"/>
    <tableColumn id="2" xr3:uid="{00000000-0010-0000-0600-000002000000}" name="CI"/>
    <tableColumn id="6" xr3:uid="{00000000-0010-0000-0600-000006000000}" name="CUMPLEAÑOS"/>
    <tableColumn id="9" xr3:uid="{00000000-0010-0000-0600-000009000000}" name="DIAS PARA CUMPLEAÑOS"/>
    <tableColumn id="3" xr3:uid="{00000000-0010-0000-0600-000003000000}" name="FECHA DE INGRESO"/>
    <tableColumn id="4" xr3:uid="{00000000-0010-0000-0600-000004000000}" name="CARGO "/>
    <tableColumn id="7" xr3:uid="{00000000-0010-0000-0600-000007000000}" name="NOMINA"/>
    <tableColumn id="8" xr3:uid="{00000000-0010-0000-0600-000008000000}" name="PLUS"/>
    <tableColumn id="5" xr3:uid="{00000000-0010-0000-0600-000005000000}" name="NOMBRE Y APELLIDO * CDE"/>
  </tableColumns>
  <tableStyleInfo name="TableStyleLight2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.xml"/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7.xml"/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6" tint="0.79995117038483843"/>
  </sheetPr>
  <dimension ref="E1:P153"/>
  <sheetViews>
    <sheetView topLeftCell="F48" zoomScale="40" zoomScaleNormal="40" workbookViewId="0">
      <selection activeCell="O65" sqref="O65"/>
    </sheetView>
  </sheetViews>
  <sheetFormatPr baseColWidth="10" defaultColWidth="11.42578125" defaultRowHeight="15" x14ac:dyDescent="0.25"/>
  <cols>
    <col min="1" max="1" width="11.42578125" style="18" customWidth="1"/>
    <col min="2" max="2" width="7.7109375" style="18" customWidth="1"/>
    <col min="3" max="4" width="11.42578125" style="18" customWidth="1"/>
    <col min="5" max="5" width="39.85546875" style="18" customWidth="1"/>
    <col min="6" max="6" width="28.7109375" style="18" customWidth="1"/>
    <col min="7" max="7" width="56.5703125" style="18" customWidth="1"/>
    <col min="8" max="8" width="89.85546875" style="19" customWidth="1"/>
    <col min="9" max="9" width="102.28515625" style="18" customWidth="1"/>
    <col min="10" max="10" width="93" style="18" customWidth="1"/>
    <col min="11" max="11" width="80.5703125" style="18" bestFit="1" customWidth="1"/>
    <col min="12" max="12" width="69.42578125" style="18" bestFit="1" customWidth="1"/>
    <col min="13" max="13" width="114.42578125" style="18" customWidth="1"/>
    <col min="14" max="15" width="11.42578125" style="18" customWidth="1"/>
    <col min="16" max="16384" width="11.42578125" style="18"/>
  </cols>
  <sheetData>
    <row r="1" spans="5:16" ht="75" customHeight="1" x14ac:dyDescent="0.25">
      <c r="E1" s="8"/>
      <c r="F1" s="8"/>
      <c r="G1" s="8"/>
      <c r="H1" s="8"/>
      <c r="I1" s="8"/>
      <c r="J1" s="8"/>
      <c r="K1" s="8"/>
      <c r="L1" s="8"/>
      <c r="M1" s="8"/>
    </row>
    <row r="2" spans="5:16" ht="78.75" customHeight="1" x14ac:dyDescent="0.25">
      <c r="E2" s="42" t="s">
        <v>0</v>
      </c>
      <c r="F2" s="39"/>
      <c r="G2" s="39"/>
      <c r="H2" s="41"/>
      <c r="I2" s="39"/>
      <c r="J2" s="39"/>
      <c r="K2" s="39"/>
      <c r="L2" s="39"/>
      <c r="M2" s="39"/>
    </row>
    <row r="3" spans="5:16" ht="60.75" customHeight="1" x14ac:dyDescent="0.25">
      <c r="E3" s="39"/>
      <c r="F3" s="39"/>
      <c r="G3" s="39"/>
      <c r="H3" s="41"/>
      <c r="I3" s="39"/>
      <c r="J3" s="39"/>
      <c r="K3" s="39"/>
      <c r="L3" s="39"/>
      <c r="M3" s="39"/>
      <c r="N3" s="25"/>
      <c r="O3" s="25"/>
      <c r="P3" s="25"/>
    </row>
    <row r="4" spans="5:16" ht="60.75" customHeight="1" x14ac:dyDescent="0.25">
      <c r="E4" s="40" t="s">
        <v>1</v>
      </c>
      <c r="F4" s="39"/>
      <c r="G4" s="39"/>
      <c r="H4" s="41"/>
      <c r="I4" s="39"/>
      <c r="J4" s="39"/>
      <c r="K4" s="39"/>
      <c r="L4" s="39"/>
      <c r="M4" s="39"/>
      <c r="N4" s="25"/>
      <c r="O4" s="25"/>
      <c r="P4" s="25"/>
    </row>
    <row r="5" spans="5:16" ht="63.75" customHeight="1" x14ac:dyDescent="0.25">
      <c r="E5" s="8"/>
      <c r="F5" s="8"/>
      <c r="G5" s="8"/>
      <c r="H5" s="38" t="s">
        <v>2</v>
      </c>
      <c r="I5" s="39"/>
      <c r="J5" s="14">
        <f ca="1">NOW()</f>
        <v>46135.478733912038</v>
      </c>
      <c r="K5" s="14"/>
      <c r="L5" s="14"/>
      <c r="M5" s="8"/>
      <c r="O5" s="15"/>
      <c r="P5" s="2"/>
    </row>
    <row r="6" spans="5:16" ht="46.5" customHeight="1" x14ac:dyDescent="0.25">
      <c r="E6" s="13" t="s">
        <v>3</v>
      </c>
      <c r="F6" s="13" t="s">
        <v>4</v>
      </c>
      <c r="G6" s="13" t="s">
        <v>5</v>
      </c>
      <c r="H6" s="12" t="s">
        <v>6</v>
      </c>
      <c r="I6" s="13" t="s">
        <v>7</v>
      </c>
      <c r="J6" s="13" t="s">
        <v>8</v>
      </c>
      <c r="K6" s="35" t="s">
        <v>9</v>
      </c>
      <c r="L6" s="35" t="s">
        <v>10</v>
      </c>
      <c r="M6" s="13" t="s">
        <v>11</v>
      </c>
    </row>
    <row r="7" spans="5:16" ht="46.5" customHeight="1" x14ac:dyDescent="0.25">
      <c r="E7" s="50">
        <v>3369</v>
      </c>
      <c r="F7" s="50">
        <v>1212530</v>
      </c>
      <c r="G7" s="11">
        <v>22866</v>
      </c>
      <c r="H7" s="12">
        <f ca="1">IF(
  DATE(YEAR(TODAY()),MONTH(G7),DAY(G7))&gt;=TODAY(),
  DATE(YEAR(TODAY()),MONTH(G7),DAY(G7))-TODAY(),
  DATE(YEAR(TODAY())+1,MONTH(G7),DAY(G7))-TODAY()
)</f>
        <v>107</v>
      </c>
      <c r="I7" s="51">
        <v>37226</v>
      </c>
      <c r="J7" s="50" t="s">
        <v>45</v>
      </c>
      <c r="K7" s="35">
        <v>3300000</v>
      </c>
      <c r="L7" s="35">
        <v>0</v>
      </c>
      <c r="M7" s="50" t="s">
        <v>46</v>
      </c>
      <c r="N7" s="18">
        <v>1</v>
      </c>
    </row>
    <row r="8" spans="5:16" ht="46.5" customHeight="1" x14ac:dyDescent="0.25">
      <c r="E8" s="13">
        <v>1110</v>
      </c>
      <c r="F8" s="13">
        <v>925472</v>
      </c>
      <c r="G8" s="11">
        <v>23004</v>
      </c>
      <c r="H8" s="12">
        <f ca="1">IF(
  DATE(YEAR(TODAY()),MONTH(G8),DAY(G8))&gt;=TODAY(),
  DATE(YEAR(TODAY()),MONTH(G8),DAY(G8))-TODAY(),
  DATE(YEAR(TODAY())+1,MONTH(G8),DAY(G8))-TODAY()
)</f>
        <v>245</v>
      </c>
      <c r="I8" s="26">
        <v>38355</v>
      </c>
      <c r="J8" s="13" t="s">
        <v>74</v>
      </c>
      <c r="K8" s="35">
        <v>9300000</v>
      </c>
      <c r="L8" s="35">
        <v>1500000</v>
      </c>
      <c r="M8" s="13" t="s">
        <v>75</v>
      </c>
      <c r="N8" s="18">
        <v>1</v>
      </c>
    </row>
    <row r="9" spans="5:16" ht="46.5" customHeight="1" x14ac:dyDescent="0.25">
      <c r="E9" s="50">
        <v>12801</v>
      </c>
      <c r="F9" s="50">
        <v>4939967</v>
      </c>
      <c r="G9" s="11">
        <v>33267</v>
      </c>
      <c r="H9" s="12">
        <f ca="1">IF(
  DATE(YEAR(TODAY()),MONTH(G9),DAY(G9))&gt;=TODAY(),
  DATE(YEAR(TODAY()),MONTH(G9),DAY(G9))-TODAY(),
  DATE(YEAR(TODAY())+1,MONTH(G9),DAY(G9))-TODAY()
)</f>
        <v>281</v>
      </c>
      <c r="I9" s="51">
        <v>39419</v>
      </c>
      <c r="J9" s="50" t="s">
        <v>32</v>
      </c>
      <c r="K9" s="35">
        <v>4000000</v>
      </c>
      <c r="L9" s="35">
        <v>1500000</v>
      </c>
      <c r="M9" s="50" t="s">
        <v>88</v>
      </c>
      <c r="N9" s="18">
        <v>1</v>
      </c>
    </row>
    <row r="10" spans="5:16" ht="46.5" customHeight="1" x14ac:dyDescent="0.25">
      <c r="E10" s="50">
        <v>10400</v>
      </c>
      <c r="F10" s="50">
        <v>1706228</v>
      </c>
      <c r="G10" s="11">
        <v>26108</v>
      </c>
      <c r="H10" s="12">
        <f ca="1">IF(
  DATE(YEAR(TODAY()),MONTH(G10),DAY(G10))&gt;=TODAY(),
  DATE(YEAR(TODAY()),MONTH(G10),DAY(G10))-TODAY(),
  DATE(YEAR(TODAY())+1,MONTH(G10),DAY(G10))-TODAY()
)</f>
        <v>62</v>
      </c>
      <c r="I10" s="51">
        <v>39569</v>
      </c>
      <c r="J10" s="50" t="s">
        <v>28</v>
      </c>
      <c r="K10" s="35">
        <v>3800000</v>
      </c>
      <c r="L10" s="35">
        <v>0</v>
      </c>
      <c r="M10" s="50" t="s">
        <v>29</v>
      </c>
      <c r="N10" s="18">
        <v>1</v>
      </c>
    </row>
    <row r="11" spans="5:16" ht="46.5" customHeight="1" x14ac:dyDescent="0.25">
      <c r="E11" s="50">
        <v>15276</v>
      </c>
      <c r="F11" s="50">
        <v>3960013</v>
      </c>
      <c r="G11" s="11">
        <v>30705</v>
      </c>
      <c r="H11" s="12">
        <f ca="1">IF(
  DATE(YEAR(TODAY()),MONTH(G11),DAY(G11))&gt;=TODAY(),
  DATE(YEAR(TODAY()),MONTH(G11),DAY(G11))-TODAY(),
  DATE(YEAR(TODAY())+1,MONTH(G11),DAY(G11))-TODAY()
)</f>
        <v>276</v>
      </c>
      <c r="I11" s="51">
        <v>40148</v>
      </c>
      <c r="J11" s="50" t="s">
        <v>83</v>
      </c>
      <c r="K11" s="35">
        <v>4500000</v>
      </c>
      <c r="L11" s="35">
        <v>2000000</v>
      </c>
      <c r="M11" s="50" t="s">
        <v>84</v>
      </c>
      <c r="N11" s="18">
        <v>1</v>
      </c>
    </row>
    <row r="12" spans="5:16" ht="46.5" customHeight="1" x14ac:dyDescent="0.25">
      <c r="E12" s="50">
        <v>15573</v>
      </c>
      <c r="F12" s="50">
        <v>1956894</v>
      </c>
      <c r="G12" s="11">
        <v>26761</v>
      </c>
      <c r="H12" s="12">
        <f ca="1">IF(
  DATE(YEAR(TODAY()),MONTH(G12),DAY(G12))&gt;=TODAY(),
  DATE(YEAR(TODAY()),MONTH(G12),DAY(G12))-TODAY(),
  DATE(YEAR(TODAY())+1,MONTH(G12),DAY(G12))-TODAY()
)</f>
        <v>349</v>
      </c>
      <c r="I12" s="51">
        <v>40239</v>
      </c>
      <c r="J12" s="50" t="s">
        <v>15</v>
      </c>
      <c r="K12" s="35">
        <v>3500000</v>
      </c>
      <c r="L12" s="35">
        <v>0</v>
      </c>
      <c r="M12" s="50" t="s">
        <v>16</v>
      </c>
      <c r="N12" s="18">
        <v>1</v>
      </c>
    </row>
    <row r="13" spans="5:16" ht="46.5" customHeight="1" x14ac:dyDescent="0.25">
      <c r="E13" s="13">
        <v>18586</v>
      </c>
      <c r="F13" s="13">
        <v>4320751</v>
      </c>
      <c r="G13" s="11">
        <v>32003</v>
      </c>
      <c r="H13" s="12">
        <f ca="1">IF(
  DATE(YEAR(TODAY()),MONTH(G13),DAY(G13))&gt;=TODAY(),
  DATE(YEAR(TODAY()),MONTH(G13),DAY(G13))-TODAY(),
  DATE(YEAR(TODAY())+1,MONTH(G13),DAY(G13))-TODAY()
)</f>
        <v>113</v>
      </c>
      <c r="I13" s="26">
        <v>40610</v>
      </c>
      <c r="J13" s="13" t="s">
        <v>49</v>
      </c>
      <c r="K13" s="35">
        <v>6000000</v>
      </c>
      <c r="L13" s="35">
        <v>2500000</v>
      </c>
      <c r="M13" s="13" t="s">
        <v>50</v>
      </c>
      <c r="N13" s="18">
        <v>1</v>
      </c>
    </row>
    <row r="14" spans="5:16" ht="46.5" customHeight="1" x14ac:dyDescent="0.25">
      <c r="E14" s="13">
        <v>16211</v>
      </c>
      <c r="F14" s="13">
        <v>4153140</v>
      </c>
      <c r="G14" s="11">
        <v>31698</v>
      </c>
      <c r="H14" s="12">
        <f ca="1">IF(
  DATE(YEAR(TODAY()),MONTH(G14),DAY(G14))&gt;=TODAY(),
  DATE(YEAR(TODAY()),MONTH(G14),DAY(G14))-TODAY(),
  DATE(YEAR(TODAY())+1,MONTH(G14),DAY(G14))-TODAY()
)</f>
        <v>173</v>
      </c>
      <c r="I14" s="26">
        <v>40623</v>
      </c>
      <c r="J14" s="13" t="s">
        <v>59</v>
      </c>
      <c r="K14" s="35">
        <v>4000000</v>
      </c>
      <c r="L14" s="35">
        <v>500000</v>
      </c>
      <c r="M14" s="13" t="s">
        <v>60</v>
      </c>
      <c r="N14" s="18">
        <v>1</v>
      </c>
    </row>
    <row r="15" spans="5:16" ht="46.5" customHeight="1" x14ac:dyDescent="0.25">
      <c r="E15" s="13">
        <v>21868</v>
      </c>
      <c r="F15" s="13">
        <v>3383680</v>
      </c>
      <c r="G15" s="11">
        <v>29724</v>
      </c>
      <c r="H15" s="12">
        <f ca="1">IF(
  DATE(YEAR(TODAY()),MONTH(G15),DAY(G15))&gt;=TODAY(),
  DATE(YEAR(TODAY()),MONTH(G15),DAY(G15))-TODAY(),
  DATE(YEAR(TODAY())+1,MONTH(G15),DAY(G15))-TODAY()
)</f>
        <v>25</v>
      </c>
      <c r="I15" s="26">
        <v>41166</v>
      </c>
      <c r="J15" s="13" t="s">
        <v>21</v>
      </c>
      <c r="K15" s="35">
        <v>4700000</v>
      </c>
      <c r="L15" s="35">
        <v>300000</v>
      </c>
      <c r="M15" s="13" t="s">
        <v>22</v>
      </c>
      <c r="N15" s="18">
        <v>1</v>
      </c>
    </row>
    <row r="16" spans="5:16" ht="46.5" customHeight="1" x14ac:dyDescent="0.25">
      <c r="E16" s="13">
        <v>12501</v>
      </c>
      <c r="F16" s="13">
        <v>3680929</v>
      </c>
      <c r="G16" s="11">
        <v>33342</v>
      </c>
      <c r="H16" s="12">
        <f ca="1">IF(
  DATE(YEAR(TODAY()),MONTH(G16),DAY(G16))&gt;=TODAY(),
  DATE(YEAR(TODAY()),MONTH(G16),DAY(G16))-TODAY(),
  DATE(YEAR(TODAY())+1,MONTH(G16),DAY(G16))-TODAY()
)</f>
        <v>356</v>
      </c>
      <c r="I16" s="26">
        <v>41170</v>
      </c>
      <c r="J16" s="13" t="s">
        <v>17</v>
      </c>
      <c r="K16" s="35">
        <v>12000000</v>
      </c>
      <c r="L16" s="35">
        <v>0</v>
      </c>
      <c r="M16" s="13" t="s">
        <v>18</v>
      </c>
      <c r="N16" s="18">
        <v>1</v>
      </c>
    </row>
    <row r="17" spans="5:14" ht="46.5" customHeight="1" x14ac:dyDescent="0.25">
      <c r="E17" s="13">
        <v>7993</v>
      </c>
      <c r="F17" s="13">
        <v>2032781</v>
      </c>
      <c r="G17" s="11">
        <v>27174</v>
      </c>
      <c r="H17" s="12">
        <f ca="1">IF(
  DATE(YEAR(TODAY()),MONTH(G17),DAY(G17))&gt;=TODAY(),
  DATE(YEAR(TODAY()),MONTH(G17),DAY(G17))-TODAY(),
  DATE(YEAR(TODAY())+1,MONTH(G17),DAY(G17))-TODAY()
)</f>
        <v>32</v>
      </c>
      <c r="I17" s="26">
        <v>41197</v>
      </c>
      <c r="J17" s="13" t="s">
        <v>14</v>
      </c>
      <c r="K17" s="35">
        <v>3800000</v>
      </c>
      <c r="L17" s="35">
        <v>800000</v>
      </c>
      <c r="M17" s="13" t="s">
        <v>26</v>
      </c>
      <c r="N17" s="18">
        <v>1</v>
      </c>
    </row>
    <row r="18" spans="5:14" ht="46.5" customHeight="1" x14ac:dyDescent="0.25">
      <c r="E18" s="50">
        <v>24256</v>
      </c>
      <c r="F18" s="50">
        <v>2210018</v>
      </c>
      <c r="G18" s="11">
        <v>27815</v>
      </c>
      <c r="H18" s="12">
        <f ca="1">IF(
  DATE(YEAR(TODAY()),MONTH(G18),DAY(G18))&gt;=TODAY(),
  DATE(YEAR(TODAY()),MONTH(G18),DAY(G18))-TODAY(),
  DATE(YEAR(TODAY())+1,MONTH(G18),DAY(G18))-TODAY()
)</f>
        <v>308</v>
      </c>
      <c r="I18" s="51">
        <v>41218</v>
      </c>
      <c r="J18" s="50" t="s">
        <v>12</v>
      </c>
      <c r="K18" s="35">
        <v>6000000</v>
      </c>
      <c r="L18" s="35">
        <v>1000000</v>
      </c>
      <c r="M18" s="50" t="s">
        <v>13</v>
      </c>
      <c r="N18" s="18">
        <v>1</v>
      </c>
    </row>
    <row r="19" spans="5:14" ht="46.5" customHeight="1" x14ac:dyDescent="0.25">
      <c r="E19" s="13">
        <v>22831</v>
      </c>
      <c r="F19" s="13">
        <v>1309623</v>
      </c>
      <c r="G19" s="11">
        <v>22938</v>
      </c>
      <c r="H19" s="12">
        <f ca="1">IF(
  DATE(YEAR(TODAY()),MONTH(G19),DAY(G19))&gt;=TODAY(),
  DATE(YEAR(TODAY()),MONTH(G19),DAY(G19))-TODAY(),
  DATE(YEAR(TODAY())+1,MONTH(G19),DAY(G19))-TODAY()
)</f>
        <v>179</v>
      </c>
      <c r="I19" s="26">
        <v>41233</v>
      </c>
      <c r="J19" s="13" t="s">
        <v>61</v>
      </c>
      <c r="K19" s="35">
        <v>3000000</v>
      </c>
      <c r="L19" s="35">
        <v>0</v>
      </c>
      <c r="M19" s="13" t="s">
        <v>62</v>
      </c>
      <c r="N19" s="18">
        <v>1</v>
      </c>
    </row>
    <row r="20" spans="5:14" ht="46.5" customHeight="1" x14ac:dyDescent="0.25">
      <c r="E20" s="13">
        <v>24372</v>
      </c>
      <c r="F20" s="13">
        <v>3241659</v>
      </c>
      <c r="G20" s="11">
        <v>29037</v>
      </c>
      <c r="H20" s="12">
        <f ca="1">IF(
  DATE(YEAR(TODAY()),MONTH(G20),DAY(G20))&gt;=TODAY(),
  DATE(YEAR(TODAY()),MONTH(G20),DAY(G20))-TODAY(),
  DATE(YEAR(TODAY())+1,MONTH(G20),DAY(G20))-TODAY()
)</f>
        <v>69</v>
      </c>
      <c r="I20" s="26">
        <v>41244</v>
      </c>
      <c r="J20" s="13" t="s">
        <v>30</v>
      </c>
      <c r="K20" s="35">
        <v>4700000</v>
      </c>
      <c r="L20" s="35">
        <v>500000</v>
      </c>
      <c r="M20" s="13" t="s">
        <v>31</v>
      </c>
      <c r="N20" s="18">
        <v>1</v>
      </c>
    </row>
    <row r="21" spans="5:14" ht="46.5" customHeight="1" x14ac:dyDescent="0.25">
      <c r="E21" s="13">
        <v>22656</v>
      </c>
      <c r="F21" s="13">
        <v>3888707</v>
      </c>
      <c r="G21" s="11">
        <v>30868</v>
      </c>
      <c r="H21" s="12">
        <f ca="1">IF(
  DATE(YEAR(TODAY()),MONTH(G21),DAY(G21))&gt;=TODAY(),
  DATE(YEAR(TODAY()),MONTH(G21),DAY(G21))-TODAY(),
  DATE(YEAR(TODAY())+1,MONTH(G21),DAY(G21))-TODAY()
)</f>
        <v>73</v>
      </c>
      <c r="I21" s="26">
        <v>41477</v>
      </c>
      <c r="J21" s="13" t="s">
        <v>32</v>
      </c>
      <c r="K21" s="35">
        <v>4200000</v>
      </c>
      <c r="L21" s="35">
        <v>0</v>
      </c>
      <c r="M21" s="13" t="s">
        <v>33</v>
      </c>
      <c r="N21" s="18">
        <v>1</v>
      </c>
    </row>
    <row r="22" spans="5:14" ht="46.5" customHeight="1" x14ac:dyDescent="0.25">
      <c r="E22" s="13">
        <v>8943</v>
      </c>
      <c r="F22" s="13">
        <v>438121</v>
      </c>
      <c r="G22" s="11">
        <v>20211</v>
      </c>
      <c r="H22" s="12">
        <f ca="1">IF(
  DATE(YEAR(TODAY()),MONTH(G22),DAY(G22))&gt;=TODAY(),
  DATE(YEAR(TODAY()),MONTH(G22),DAY(G22))-TODAY(),
  DATE(YEAR(TODAY())+1,MONTH(G22),DAY(G22))-TODAY()
)</f>
        <v>9</v>
      </c>
      <c r="I22" s="26">
        <v>41568</v>
      </c>
      <c r="J22" s="13" t="s">
        <v>19</v>
      </c>
      <c r="K22" s="35">
        <v>3000000</v>
      </c>
      <c r="L22" s="35">
        <v>0</v>
      </c>
      <c r="M22" s="13" t="s">
        <v>20</v>
      </c>
      <c r="N22" s="18">
        <v>1</v>
      </c>
    </row>
    <row r="23" spans="5:14" ht="46.5" customHeight="1" x14ac:dyDescent="0.25">
      <c r="E23" s="13">
        <v>11947</v>
      </c>
      <c r="F23" s="13">
        <v>3466759</v>
      </c>
      <c r="G23" s="11">
        <v>26508</v>
      </c>
      <c r="H23" s="12">
        <f ca="1">IF(
  DATE(YEAR(TODAY()),MONTH(G23),DAY(G23))&gt;=TODAY(),
  DATE(YEAR(TODAY()),MONTH(G23),DAY(G23))-TODAY(),
  DATE(YEAR(TODAY())+1,MONTH(G23),DAY(G23))-TODAY()
)</f>
        <v>96</v>
      </c>
      <c r="I23" s="26">
        <v>41791</v>
      </c>
      <c r="J23" s="13" t="s">
        <v>15</v>
      </c>
      <c r="K23" s="35">
        <v>3500000</v>
      </c>
      <c r="L23" s="35">
        <v>0</v>
      </c>
      <c r="M23" s="13" t="s">
        <v>41</v>
      </c>
      <c r="N23" s="18">
        <v>1</v>
      </c>
    </row>
    <row r="24" spans="5:14" ht="46.5" customHeight="1" x14ac:dyDescent="0.25">
      <c r="E24" s="13">
        <v>90</v>
      </c>
      <c r="F24" s="13">
        <v>1365186</v>
      </c>
      <c r="G24" s="11">
        <v>25450</v>
      </c>
      <c r="H24" s="12">
        <f ca="1">IF(
  DATE(YEAR(TODAY()),MONTH(G24),DAY(G24))&gt;=TODAY(),
  DATE(YEAR(TODAY()),MONTH(G24),DAY(G24))-TODAY(),
  DATE(YEAR(TODAY())+1,MONTH(G24),DAY(G24))-TODAY()
)</f>
        <v>134</v>
      </c>
      <c r="I24" s="26">
        <v>41852</v>
      </c>
      <c r="J24" s="13" t="s">
        <v>51</v>
      </c>
      <c r="K24" s="35">
        <v>7500000</v>
      </c>
      <c r="L24" s="35">
        <v>1000000</v>
      </c>
      <c r="M24" s="13" t="s">
        <v>52</v>
      </c>
      <c r="N24" s="18">
        <v>1</v>
      </c>
    </row>
    <row r="25" spans="5:14" ht="46.5" customHeight="1" x14ac:dyDescent="0.25">
      <c r="E25" s="50">
        <v>35890</v>
      </c>
      <c r="F25" s="50">
        <v>5006758</v>
      </c>
      <c r="G25" s="11">
        <v>31083</v>
      </c>
      <c r="H25" s="12">
        <f ca="1">IF(
  DATE(YEAR(TODAY()),MONTH(G25),DAY(G25))&gt;=TODAY(),
  DATE(YEAR(TODAY()),MONTH(G25),DAY(G25))-TODAY(),
  DATE(YEAR(TODAY())+1,MONTH(G25),DAY(G25))-TODAY()
)</f>
        <v>288</v>
      </c>
      <c r="I25" s="51">
        <v>42492</v>
      </c>
      <c r="J25" s="50" t="s">
        <v>90</v>
      </c>
      <c r="K25" s="35">
        <v>3000000</v>
      </c>
      <c r="L25" s="35">
        <v>0</v>
      </c>
      <c r="M25" s="50" t="s">
        <v>91</v>
      </c>
      <c r="N25" s="18">
        <v>1</v>
      </c>
    </row>
    <row r="26" spans="5:14" ht="46.5" customHeight="1" x14ac:dyDescent="0.25">
      <c r="E26" s="13">
        <v>36775</v>
      </c>
      <c r="F26" s="13">
        <v>1681450</v>
      </c>
      <c r="G26" s="11">
        <v>26136</v>
      </c>
      <c r="H26" s="12">
        <f ca="1">IF(
  DATE(YEAR(TODAY()),MONTH(G26),DAY(G26))&gt;=TODAY(),
  DATE(YEAR(TODAY()),MONTH(G26),DAY(G26))-TODAY(),
  DATE(YEAR(TODAY())+1,MONTH(G26),DAY(G26))-TODAY()
)</f>
        <v>90</v>
      </c>
      <c r="I26" s="26">
        <v>42563</v>
      </c>
      <c r="J26" s="13" t="s">
        <v>199</v>
      </c>
      <c r="K26" s="35">
        <v>3200000</v>
      </c>
      <c r="L26" s="35">
        <v>0</v>
      </c>
      <c r="M26" s="13" t="s">
        <v>34</v>
      </c>
      <c r="N26" s="18">
        <v>1</v>
      </c>
    </row>
    <row r="27" spans="5:14" ht="46.5" customHeight="1" x14ac:dyDescent="0.25">
      <c r="E27" s="13">
        <v>22862</v>
      </c>
      <c r="F27" s="13">
        <v>4617564</v>
      </c>
      <c r="G27" s="11">
        <v>33440</v>
      </c>
      <c r="H27" s="13">
        <f ca="1">IF(
DATE(YEAR(TODAY()),MONTH(G27),DAY(G27))&gt;=TODAY(),
DATE(YEAR(TODAY()),MONTH(G27),DAY(G27))-TODAY(),
DATE(YEAR(TODAY())+1,MONTH(G27),DAY(G27))-TODAY()
)</f>
        <v>89</v>
      </c>
      <c r="I27" s="26">
        <v>42753</v>
      </c>
      <c r="J27" s="13" t="s">
        <v>204</v>
      </c>
      <c r="K27" s="35">
        <v>3500000</v>
      </c>
      <c r="L27" s="35">
        <v>400000</v>
      </c>
      <c r="M27" s="13" t="s">
        <v>103</v>
      </c>
      <c r="N27" s="18">
        <v>1</v>
      </c>
    </row>
    <row r="28" spans="5:14" ht="46.5" customHeight="1" x14ac:dyDescent="0.25">
      <c r="E28" s="13">
        <v>32693</v>
      </c>
      <c r="F28" s="13">
        <v>4660976</v>
      </c>
      <c r="G28" s="11">
        <v>32717</v>
      </c>
      <c r="H28" s="12">
        <f ca="1">IF(
  DATE(YEAR(TODAY()),MONTH(G28),DAY(G28))&gt;=TODAY(),
  DATE(YEAR(TODAY()),MONTH(G28),DAY(G28))-TODAY(),
  DATE(YEAR(TODAY())+1,MONTH(G28),DAY(G28))-TODAY()
)</f>
        <v>96</v>
      </c>
      <c r="I28" s="26">
        <v>42948</v>
      </c>
      <c r="J28" s="13" t="s">
        <v>39</v>
      </c>
      <c r="K28" s="35">
        <v>5000000</v>
      </c>
      <c r="L28" s="35">
        <v>1500000</v>
      </c>
      <c r="M28" s="13" t="s">
        <v>40</v>
      </c>
      <c r="N28" s="18">
        <v>1</v>
      </c>
    </row>
    <row r="29" spans="5:14" ht="46.5" customHeight="1" x14ac:dyDescent="0.25">
      <c r="E29" s="13">
        <v>43091</v>
      </c>
      <c r="F29" s="13">
        <v>4470548</v>
      </c>
      <c r="G29" s="11">
        <v>34843</v>
      </c>
      <c r="H29" s="12">
        <f ca="1">IF(
  DATE(YEAR(TODAY()),MONTH(G29),DAY(G29))&gt;=TODAY(),
  DATE(YEAR(TODAY()),MONTH(G29),DAY(G29))-TODAY(),
  DATE(YEAR(TODAY())+1,MONTH(G29),DAY(G29))-TODAY()
)</f>
        <v>31</v>
      </c>
      <c r="I29" s="26">
        <v>43353</v>
      </c>
      <c r="J29" s="13" t="s">
        <v>14</v>
      </c>
      <c r="K29" s="35">
        <v>3500000</v>
      </c>
      <c r="L29" s="35">
        <v>600000</v>
      </c>
      <c r="M29" s="13" t="s">
        <v>25</v>
      </c>
      <c r="N29" s="18">
        <v>1</v>
      </c>
    </row>
    <row r="30" spans="5:14" ht="46.5" customHeight="1" x14ac:dyDescent="0.25">
      <c r="E30" s="13">
        <v>23170</v>
      </c>
      <c r="F30" s="13">
        <v>6040235</v>
      </c>
      <c r="G30" s="11">
        <v>33963</v>
      </c>
      <c r="H30" s="12">
        <f ca="1">IF(
  DATE(YEAR(TODAY()),MONTH(G30),DAY(G30))&gt;=TODAY(),
  DATE(YEAR(TODAY()),MONTH(G30),DAY(G30))-TODAY(),
  DATE(YEAR(TODAY())+1,MONTH(G30),DAY(G30))-TODAY()
)</f>
        <v>246</v>
      </c>
      <c r="I30" s="26">
        <v>43509</v>
      </c>
      <c r="J30" s="13" t="s">
        <v>57</v>
      </c>
      <c r="K30" s="35">
        <v>3500000</v>
      </c>
      <c r="L30" s="35">
        <v>0</v>
      </c>
      <c r="M30" s="13" t="s">
        <v>76</v>
      </c>
      <c r="N30" s="18">
        <v>1</v>
      </c>
    </row>
    <row r="31" spans="5:14" ht="46.5" customHeight="1" x14ac:dyDescent="0.25">
      <c r="E31" s="13">
        <v>42581</v>
      </c>
      <c r="F31" s="13">
        <v>3435525</v>
      </c>
      <c r="G31" s="11">
        <v>29425</v>
      </c>
      <c r="H31" s="12">
        <f ca="1">IF(
  DATE(YEAR(TODAY()),MONTH(G31),DAY(G31))&gt;=TODAY(),
  DATE(YEAR(TODAY()),MONTH(G31),DAY(G31))-TODAY(),
  DATE(YEAR(TODAY())+1,MONTH(G31),DAY(G31))-TODAY()
)</f>
        <v>91</v>
      </c>
      <c r="I31" s="26">
        <v>44075</v>
      </c>
      <c r="J31" s="13" t="s">
        <v>35</v>
      </c>
      <c r="K31" s="35">
        <v>3100000</v>
      </c>
      <c r="L31" s="35">
        <v>0</v>
      </c>
      <c r="M31" s="13" t="s">
        <v>36</v>
      </c>
      <c r="N31" s="18">
        <v>1</v>
      </c>
    </row>
    <row r="32" spans="5:14" ht="46.5" customHeight="1" x14ac:dyDescent="0.25">
      <c r="E32" s="13">
        <v>29607</v>
      </c>
      <c r="F32" s="13">
        <v>4973440</v>
      </c>
      <c r="G32" s="11">
        <v>33627</v>
      </c>
      <c r="H32" s="12">
        <f ca="1">IF(
  DATE(YEAR(TODAY()),MONTH(G32),DAY(G32))&gt;=TODAY(),
  DATE(YEAR(TODAY()),MONTH(G32),DAY(G32))-TODAY(),
  DATE(YEAR(TODAY())+1,MONTH(G32),DAY(G32))-TODAY()
)</f>
        <v>276</v>
      </c>
      <c r="I32" s="26">
        <v>44516</v>
      </c>
      <c r="J32" s="13" t="s">
        <v>81</v>
      </c>
      <c r="K32" s="35">
        <v>4000000</v>
      </c>
      <c r="L32" s="35">
        <v>500000</v>
      </c>
      <c r="M32" s="13" t="s">
        <v>82</v>
      </c>
      <c r="N32" s="18">
        <v>1</v>
      </c>
    </row>
    <row r="33" spans="5:14" ht="46.5" customHeight="1" x14ac:dyDescent="0.25">
      <c r="E33" s="13">
        <v>50369</v>
      </c>
      <c r="F33" s="13">
        <v>6153231</v>
      </c>
      <c r="G33" s="11">
        <v>36097</v>
      </c>
      <c r="H33" s="12">
        <f ca="1">IF(
  DATE(YEAR(TODAY()),MONTH(G33),DAY(G33))&gt;=TODAY(),
  DATE(YEAR(TODAY()),MONTH(G33),DAY(G33))-TODAY(),
  DATE(YEAR(TODAY())+1,MONTH(G33),DAY(G33))-TODAY()
)</f>
        <v>189</v>
      </c>
      <c r="I33" s="26">
        <v>44525</v>
      </c>
      <c r="J33" s="13" t="s">
        <v>64</v>
      </c>
      <c r="K33" s="35">
        <v>4000000</v>
      </c>
      <c r="L33" s="35">
        <v>1500000</v>
      </c>
      <c r="M33" s="13" t="s">
        <v>65</v>
      </c>
      <c r="N33" s="18">
        <v>1</v>
      </c>
    </row>
    <row r="34" spans="5:14" ht="46.5" customHeight="1" x14ac:dyDescent="0.25">
      <c r="E34" s="13">
        <v>22833</v>
      </c>
      <c r="F34" s="13">
        <v>5437589</v>
      </c>
      <c r="G34" s="11">
        <v>34174</v>
      </c>
      <c r="H34" s="12">
        <f ca="1">IF(
  DATE(YEAR(TODAY()),MONTH(G34),DAY(G34))&gt;=TODAY(),
  DATE(YEAR(TODAY()),MONTH(G34),DAY(G34))-TODAY(),
  DATE(YEAR(TODAY())+1,MONTH(G34),DAY(G34))-TODAY()
)</f>
        <v>92</v>
      </c>
      <c r="I34" s="26">
        <v>44540</v>
      </c>
      <c r="J34" s="13" t="s">
        <v>37</v>
      </c>
      <c r="K34" s="35">
        <v>5000000</v>
      </c>
      <c r="L34" s="35">
        <v>1500000</v>
      </c>
      <c r="M34" s="13" t="s">
        <v>38</v>
      </c>
      <c r="N34" s="18">
        <v>1</v>
      </c>
    </row>
    <row r="35" spans="5:14" ht="46.5" customHeight="1" x14ac:dyDescent="0.25">
      <c r="E35" s="13">
        <v>1233</v>
      </c>
      <c r="F35" s="13">
        <v>1569665</v>
      </c>
      <c r="G35" s="11">
        <v>24865</v>
      </c>
      <c r="H35" s="12">
        <f ca="1">IF(
  DATE(YEAR(TODAY()),MONTH(G35),DAY(G35))&gt;=TODAY(),
  DATE(YEAR(TODAY()),MONTH(G35),DAY(G35))-TODAY(),
  DATE(YEAR(TODAY())+1,MONTH(G35),DAY(G35))-TODAY()
)</f>
        <v>280</v>
      </c>
      <c r="I35" s="26">
        <v>44629</v>
      </c>
      <c r="J35" s="13" t="s">
        <v>86</v>
      </c>
      <c r="K35" s="35">
        <v>11000000</v>
      </c>
      <c r="L35" s="35">
        <v>0</v>
      </c>
      <c r="M35" s="13" t="s">
        <v>87</v>
      </c>
      <c r="N35" s="18">
        <v>1</v>
      </c>
    </row>
    <row r="36" spans="5:14" ht="46.5" customHeight="1" x14ac:dyDescent="0.25">
      <c r="E36" s="13">
        <v>52124</v>
      </c>
      <c r="F36" s="13">
        <v>5663854</v>
      </c>
      <c r="G36" s="11">
        <v>38249</v>
      </c>
      <c r="H36" s="12">
        <f ca="1">IF(
  DATE(YEAR(TODAY()),MONTH(G36),DAY(G36))&gt;=TODAY(),
  DATE(YEAR(TODAY()),MONTH(G36),DAY(G36))-TODAY(),
  DATE(YEAR(TODAY())+1,MONTH(G36),DAY(G36))-TODAY()
)</f>
        <v>149</v>
      </c>
      <c r="I36" s="26">
        <v>44876</v>
      </c>
      <c r="J36" s="13" t="s">
        <v>54</v>
      </c>
      <c r="K36" s="35">
        <v>3500000</v>
      </c>
      <c r="L36" s="35">
        <v>0</v>
      </c>
      <c r="M36" s="13" t="s">
        <v>55</v>
      </c>
      <c r="N36" s="18">
        <v>1</v>
      </c>
    </row>
    <row r="37" spans="5:14" ht="46.5" customHeight="1" x14ac:dyDescent="0.25">
      <c r="E37" s="13">
        <v>37687</v>
      </c>
      <c r="F37" s="13">
        <v>4205357</v>
      </c>
      <c r="G37" s="11">
        <v>31319</v>
      </c>
      <c r="H37" s="12">
        <f ca="1">IF(
  DATE(YEAR(TODAY()),MONTH(G37),DAY(G37))&gt;=TODAY(),
  DATE(YEAR(TODAY()),MONTH(G37),DAY(G37))-TODAY(),
  DATE(YEAR(TODAY())+1,MONTH(G37),DAY(G37))-TODAY()
)</f>
        <v>159</v>
      </c>
      <c r="I37" s="26">
        <v>44939</v>
      </c>
      <c r="J37" s="13" t="s">
        <v>32</v>
      </c>
      <c r="K37" s="35">
        <v>3100000</v>
      </c>
      <c r="L37" s="35">
        <v>0</v>
      </c>
      <c r="M37" s="13" t="s">
        <v>56</v>
      </c>
      <c r="N37" s="18">
        <v>1</v>
      </c>
    </row>
    <row r="38" spans="5:14" ht="46.5" customHeight="1" x14ac:dyDescent="0.25">
      <c r="E38" s="13">
        <v>52308</v>
      </c>
      <c r="F38" s="13">
        <v>7976748</v>
      </c>
      <c r="G38" s="11">
        <v>38294</v>
      </c>
      <c r="H38" s="12">
        <f ca="1">IF(
  DATE(YEAR(TODAY()),MONTH(G38),DAY(G38))&gt;=TODAY(),
  DATE(YEAR(TODAY()),MONTH(G38),DAY(G38))-TODAY(),
  DATE(YEAR(TODAY())+1,MONTH(G38),DAY(G38))-TODAY()
)</f>
        <v>194</v>
      </c>
      <c r="I38" s="26">
        <v>44994</v>
      </c>
      <c r="J38" s="13" t="s">
        <v>67</v>
      </c>
      <c r="K38" s="35">
        <v>3000000</v>
      </c>
      <c r="L38" s="35">
        <v>200000</v>
      </c>
      <c r="M38" s="13" t="s">
        <v>68</v>
      </c>
      <c r="N38" s="18">
        <v>1</v>
      </c>
    </row>
    <row r="39" spans="5:14" ht="46.5" customHeight="1" x14ac:dyDescent="0.25">
      <c r="E39" s="13">
        <v>53422</v>
      </c>
      <c r="F39" s="13">
        <v>4690608</v>
      </c>
      <c r="G39" s="11">
        <v>32489</v>
      </c>
      <c r="H39" s="12">
        <f ca="1">IF(
  DATE(YEAR(TODAY()),MONTH(G39),DAY(G39))&gt;=TODAY(),
  DATE(YEAR(TODAY()),MONTH(G39),DAY(G39))-TODAY(),
  DATE(YEAR(TODAY())+1,MONTH(G39),DAY(G39))-TODAY()
)</f>
        <v>233</v>
      </c>
      <c r="I39" s="26">
        <v>45110</v>
      </c>
      <c r="J39" s="13" t="s">
        <v>70</v>
      </c>
      <c r="K39" s="35">
        <v>3500000</v>
      </c>
      <c r="L39" s="35">
        <v>500000</v>
      </c>
      <c r="M39" s="13" t="s">
        <v>71</v>
      </c>
      <c r="N39" s="18">
        <v>1</v>
      </c>
    </row>
    <row r="40" spans="5:14" ht="46.5" customHeight="1" x14ac:dyDescent="0.25">
      <c r="E40" s="50">
        <v>53629</v>
      </c>
      <c r="F40" s="50">
        <v>5729915</v>
      </c>
      <c r="G40" s="11">
        <v>38386</v>
      </c>
      <c r="H40" s="12">
        <f ca="1">IF(
  DATE(YEAR(TODAY()),MONTH(G40),DAY(G40))&gt;=TODAY(),
  DATE(YEAR(TODAY()),MONTH(G40),DAY(G40))-TODAY(),
  DATE(YEAR(TODAY())+1,MONTH(G40),DAY(G40))-TODAY()
)</f>
        <v>286</v>
      </c>
      <c r="I40" s="51">
        <v>45139</v>
      </c>
      <c r="J40" s="50" t="s">
        <v>14</v>
      </c>
      <c r="K40" s="35">
        <v>3000000</v>
      </c>
      <c r="L40" s="35">
        <v>500000</v>
      </c>
      <c r="M40" s="50" t="s">
        <v>89</v>
      </c>
      <c r="N40" s="18">
        <v>1</v>
      </c>
    </row>
    <row r="41" spans="5:14" ht="46.5" customHeight="1" x14ac:dyDescent="0.25">
      <c r="E41" s="13">
        <v>23198</v>
      </c>
      <c r="F41" s="13">
        <v>4048185</v>
      </c>
      <c r="G41" s="11">
        <v>29128</v>
      </c>
      <c r="H41" s="12">
        <f ca="1">IF(
  DATE(YEAR(TODAY()),MONTH(G41),DAY(G41))&gt;=TODAY(),
  DATE(YEAR(TODAY()),MONTH(G41),DAY(G41))-TODAY(),
  DATE(YEAR(TODAY())+1,MONTH(G41),DAY(G41))-TODAY()
)</f>
        <v>160</v>
      </c>
      <c r="I41" s="26">
        <v>45208</v>
      </c>
      <c r="J41" s="13" t="s">
        <v>57</v>
      </c>
      <c r="K41" s="35">
        <v>3500000</v>
      </c>
      <c r="L41" s="35">
        <v>0</v>
      </c>
      <c r="M41" s="13" t="s">
        <v>58</v>
      </c>
      <c r="N41" s="18">
        <v>1</v>
      </c>
    </row>
    <row r="42" spans="5:14" ht="46.5" customHeight="1" x14ac:dyDescent="0.25">
      <c r="E42" s="13">
        <v>54104</v>
      </c>
      <c r="F42" s="13">
        <v>5679380</v>
      </c>
      <c r="G42" s="11">
        <v>36550</v>
      </c>
      <c r="H42" s="12">
        <f ca="1">IF(
  DATE(YEAR(TODAY()),MONTH(G42),DAY(G42))&gt;=TODAY(),
  DATE(YEAR(TODAY()),MONTH(G42),DAY(G42))-TODAY(),
  DATE(YEAR(TODAY())+1,MONTH(G42),DAY(G42))-TODAY()
)</f>
        <v>277</v>
      </c>
      <c r="I42" s="26">
        <v>45212</v>
      </c>
      <c r="J42" s="13" t="s">
        <v>202</v>
      </c>
      <c r="K42" s="35">
        <v>3500000</v>
      </c>
      <c r="L42" s="35">
        <v>300000</v>
      </c>
      <c r="M42" s="13" t="s">
        <v>85</v>
      </c>
      <c r="N42" s="18">
        <v>1</v>
      </c>
    </row>
    <row r="43" spans="5:14" ht="46.5" customHeight="1" x14ac:dyDescent="0.25">
      <c r="E43" s="13">
        <v>54544</v>
      </c>
      <c r="F43" s="13">
        <v>5371679</v>
      </c>
      <c r="G43" s="11">
        <v>35071</v>
      </c>
      <c r="H43" s="12">
        <f ca="1">IF(
  DATE(YEAR(TODAY()),MONTH(G43),DAY(G43))&gt;=TODAY(),
  DATE(YEAR(TODAY()),MONTH(G43),DAY(G43))-TODAY(),
  DATE(YEAR(TODAY())+1,MONTH(G43),DAY(G43))-TODAY()
)</f>
        <v>259</v>
      </c>
      <c r="I43" s="26">
        <v>45334</v>
      </c>
      <c r="J43" s="13" t="s">
        <v>79</v>
      </c>
      <c r="K43" s="35">
        <v>3500000</v>
      </c>
      <c r="L43" s="35">
        <v>0</v>
      </c>
      <c r="M43" s="13" t="s">
        <v>80</v>
      </c>
      <c r="N43" s="18">
        <v>1</v>
      </c>
    </row>
    <row r="44" spans="5:14" ht="46.5" customHeight="1" x14ac:dyDescent="0.25">
      <c r="E44" s="13">
        <v>54547</v>
      </c>
      <c r="F44" s="13">
        <v>6267298</v>
      </c>
      <c r="G44" s="11">
        <v>35208</v>
      </c>
      <c r="H44" s="12">
        <f ca="1">IF(
  DATE(YEAR(TODAY()),MONTH(G44),DAY(G44))&gt;=TODAY(),
  DATE(YEAR(TODAY()),MONTH(G44),DAY(G44))-TODAY(),
  DATE(YEAR(TODAY())+1,MONTH(G44),DAY(G44))-TODAY()
)</f>
        <v>30</v>
      </c>
      <c r="I44" s="26">
        <v>45336</v>
      </c>
      <c r="J44" s="13" t="s">
        <v>23</v>
      </c>
      <c r="K44" s="35">
        <v>4000000</v>
      </c>
      <c r="L44" s="35">
        <v>1000000</v>
      </c>
      <c r="M44" s="13" t="s">
        <v>24</v>
      </c>
      <c r="N44" s="18">
        <v>1</v>
      </c>
    </row>
    <row r="45" spans="5:14" ht="46.5" customHeight="1" x14ac:dyDescent="0.25">
      <c r="E45" s="13">
        <v>55101</v>
      </c>
      <c r="F45" s="13">
        <v>6539506</v>
      </c>
      <c r="G45" s="11">
        <v>38208</v>
      </c>
      <c r="H45" s="12">
        <f ca="1">IF(
  DATE(YEAR(TODAY()),MONTH(G45),DAY(G45))&gt;=TODAY(),
  DATE(YEAR(TODAY()),MONTH(G45),DAY(G45))-TODAY(),
  DATE(YEAR(TODAY())+1,MONTH(G45),DAY(G45))-TODAY()
)</f>
        <v>108</v>
      </c>
      <c r="I45" s="26">
        <v>45474</v>
      </c>
      <c r="J45" s="13" t="s">
        <v>47</v>
      </c>
      <c r="K45" s="35">
        <v>3300000</v>
      </c>
      <c r="L45" s="35">
        <v>0</v>
      </c>
      <c r="M45" s="13" t="s">
        <v>48</v>
      </c>
      <c r="N45" s="18">
        <v>1</v>
      </c>
    </row>
    <row r="46" spans="5:14" ht="46.5" customHeight="1" x14ac:dyDescent="0.25">
      <c r="E46" s="13">
        <v>52370</v>
      </c>
      <c r="F46" s="13">
        <v>5500776</v>
      </c>
      <c r="G46" s="11">
        <v>37569</v>
      </c>
      <c r="H46" s="12">
        <f ca="1">IF(
  DATE(YEAR(TODAY()),MONTH(G46),DAY(G46))&gt;=TODAY(),
  DATE(YEAR(TODAY()),MONTH(G46),DAY(G46))-TODAY(),
  DATE(YEAR(TODAY())+1,MONTH(G46),DAY(G46))-TODAY()
)</f>
        <v>200</v>
      </c>
      <c r="I46" s="26">
        <v>45512</v>
      </c>
      <c r="J46" s="13" t="s">
        <v>201</v>
      </c>
      <c r="K46" s="35">
        <v>3000000</v>
      </c>
      <c r="L46" s="35">
        <v>0</v>
      </c>
      <c r="M46" s="13" t="s">
        <v>69</v>
      </c>
      <c r="N46" s="18">
        <v>1</v>
      </c>
    </row>
    <row r="47" spans="5:14" ht="46.5" customHeight="1" x14ac:dyDescent="0.25">
      <c r="E47" s="13">
        <v>55630</v>
      </c>
      <c r="F47" s="13">
        <v>6318815</v>
      </c>
      <c r="G47" s="11">
        <v>37411</v>
      </c>
      <c r="H47" s="12">
        <f ca="1">IF(
  DATE(YEAR(TODAY()),MONTH(G47),DAY(G47))&gt;=TODAY(),
  DATE(YEAR(TODAY()),MONTH(G47),DAY(G47))-TODAY(),
  DATE(YEAR(TODAY())+1,MONTH(G47),DAY(G47))-TODAY()
)</f>
        <v>42</v>
      </c>
      <c r="I47" s="26">
        <v>45566</v>
      </c>
      <c r="J47" s="13" t="s">
        <v>14</v>
      </c>
      <c r="K47" s="35">
        <v>3000000</v>
      </c>
      <c r="L47" s="35">
        <v>200000</v>
      </c>
      <c r="M47" s="13" t="s">
        <v>27</v>
      </c>
      <c r="N47" s="18">
        <v>1</v>
      </c>
    </row>
    <row r="48" spans="5:14" ht="46.5" customHeight="1" x14ac:dyDescent="0.25">
      <c r="E48" s="13">
        <v>52365</v>
      </c>
      <c r="F48" s="13">
        <v>5573126</v>
      </c>
      <c r="G48" s="11">
        <v>38198</v>
      </c>
      <c r="H48" s="12">
        <f ca="1">IF(
  DATE(YEAR(TODAY()),MONTH(G48),DAY(G48))&gt;=TODAY(),
  DATE(YEAR(TODAY()),MONTH(G48),DAY(G48))-TODAY(),
  DATE(YEAR(TODAY())+1,MONTH(G48),DAY(G48))-TODAY()
)</f>
        <v>98</v>
      </c>
      <c r="I48" s="26">
        <v>45600</v>
      </c>
      <c r="J48" s="13" t="s">
        <v>43</v>
      </c>
      <c r="K48" s="35">
        <v>3200000</v>
      </c>
      <c r="L48" s="35">
        <v>0</v>
      </c>
      <c r="M48" s="13" t="s">
        <v>44</v>
      </c>
      <c r="N48" s="18">
        <v>1</v>
      </c>
    </row>
    <row r="49" spans="5:14" ht="46.5" customHeight="1" x14ac:dyDescent="0.25">
      <c r="E49" s="21">
        <v>52365</v>
      </c>
      <c r="F49" s="21">
        <v>6786636</v>
      </c>
      <c r="G49" s="11">
        <v>38198</v>
      </c>
      <c r="H49" s="12">
        <f ca="1">IF(
  DATE(YEAR(TODAY()),MONTH(G49),DAY(G49))&gt;=TODAY(),
  DATE(YEAR(TODAY()),MONTH(G49),DAY(G49))-TODAY(),
  DATE(YEAR(TODAY())+1,MONTH(G49),DAY(G49))-TODAY()
)</f>
        <v>98</v>
      </c>
      <c r="I49" s="28">
        <v>45659</v>
      </c>
      <c r="J49" s="23" t="s">
        <v>200</v>
      </c>
      <c r="K49" s="35">
        <v>3200000</v>
      </c>
      <c r="L49" s="35">
        <v>0</v>
      </c>
      <c r="M49" s="24" t="s">
        <v>42</v>
      </c>
      <c r="N49" s="18">
        <v>1</v>
      </c>
    </row>
    <row r="50" spans="5:14" ht="81" customHeight="1" x14ac:dyDescent="0.25">
      <c r="E50" s="21">
        <v>56015</v>
      </c>
      <c r="F50" s="21">
        <v>6737517</v>
      </c>
      <c r="G50" s="11">
        <v>39066</v>
      </c>
      <c r="H50" s="12">
        <f ca="1">IF(
  DATE(YEAR(TODAY()),MONTH(G50),DAY(G50))&gt;=TODAY(),
  DATE(YEAR(TODAY()),MONTH(G50),DAY(G50))-TODAY(),
  DATE(YEAR(TODAY())+1,MONTH(G50),DAY(G50))-TODAY()
)</f>
        <v>236</v>
      </c>
      <c r="I50" s="28">
        <v>45727</v>
      </c>
      <c r="J50" s="23" t="s">
        <v>72</v>
      </c>
      <c r="K50" s="35">
        <v>3500000</v>
      </c>
      <c r="L50" s="35">
        <v>0</v>
      </c>
      <c r="M50" s="24" t="s">
        <v>73</v>
      </c>
      <c r="N50" s="18">
        <v>1</v>
      </c>
    </row>
    <row r="51" spans="5:14" ht="46.5" x14ac:dyDescent="0.25">
      <c r="E51" s="52">
        <v>56363</v>
      </c>
      <c r="F51" s="52">
        <v>5910804</v>
      </c>
      <c r="G51" s="11">
        <v>38964</v>
      </c>
      <c r="H51" s="12">
        <f ca="1">IF(
  DATE(YEAR(TODAY()),MONTH(G51),DAY(G51))&gt;=TODAY(),
  DATE(YEAR(TODAY()),MONTH(G51),DAY(G51))-TODAY(),
  DATE(YEAR(TODAY())+1,MONTH(G51),DAY(G51))-TODAY()
)</f>
        <v>134</v>
      </c>
      <c r="I51" s="28">
        <v>45839</v>
      </c>
      <c r="J51" s="53" t="s">
        <v>77</v>
      </c>
      <c r="K51" s="35">
        <v>3000000</v>
      </c>
      <c r="L51" s="35">
        <v>0</v>
      </c>
      <c r="M51" s="54" t="s">
        <v>53</v>
      </c>
      <c r="N51" s="18">
        <v>1</v>
      </c>
    </row>
    <row r="52" spans="5:14" ht="46.5" x14ac:dyDescent="0.25">
      <c r="E52" s="21">
        <v>57012</v>
      </c>
      <c r="F52" s="21">
        <v>1537854</v>
      </c>
      <c r="G52" s="11">
        <v>23931</v>
      </c>
      <c r="H52" s="12">
        <f ca="1">IF(
  DATE(YEAR(TODAY()),MONTH(G52),DAY(G52))&gt;=TODAY(),
  DATE(YEAR(TODAY()),MONTH(G52),DAY(G52))-TODAY(),
  DATE(YEAR(TODAY())+1,MONTH(G52),DAY(G52))-TODAY()
)</f>
        <v>76</v>
      </c>
      <c r="I52" s="28">
        <v>46006</v>
      </c>
      <c r="J52" s="23" t="s">
        <v>15</v>
      </c>
      <c r="K52" s="35">
        <v>3000000</v>
      </c>
      <c r="L52" s="35">
        <v>0</v>
      </c>
      <c r="M52" s="24" t="s">
        <v>180</v>
      </c>
      <c r="N52" s="18">
        <v>1</v>
      </c>
    </row>
    <row r="53" spans="5:14" ht="46.5" x14ac:dyDescent="0.25">
      <c r="E53" s="13">
        <v>55488</v>
      </c>
      <c r="F53" s="13">
        <v>7884227</v>
      </c>
      <c r="G53" s="11">
        <v>38721</v>
      </c>
      <c r="H53" s="12">
        <f ca="1">IF(
  DATE(YEAR(TODAY()),MONTH(G53),DAY(G53))&gt;=TODAY(),
  DATE(YEAR(TODAY()),MONTH(G53),DAY(G53))-TODAY(),
  DATE(YEAR(TODAY())+1,MONTH(G53),DAY(G53))-TODAY()
)</f>
        <v>256</v>
      </c>
      <c r="I53" s="26">
        <v>46024</v>
      </c>
      <c r="J53" s="13" t="s">
        <v>201</v>
      </c>
      <c r="K53" s="35">
        <v>2900000</v>
      </c>
      <c r="L53" s="35">
        <v>0</v>
      </c>
      <c r="M53" s="13" t="s">
        <v>78</v>
      </c>
      <c r="N53" s="18">
        <v>1</v>
      </c>
    </row>
    <row r="54" spans="5:14" ht="46.5" x14ac:dyDescent="0.25">
      <c r="E54" s="21">
        <v>55887</v>
      </c>
      <c r="F54" s="21">
        <v>4204773</v>
      </c>
      <c r="G54" s="11">
        <v>31174</v>
      </c>
      <c r="H54" s="12">
        <f ca="1">IF(
  DATE(YEAR(TODAY()),MONTH(G54),DAY(G54))&gt;=TODAY(),
  DATE(YEAR(TODAY()),MONTH(G54),DAY(G54))-TODAY(),
  DATE(YEAR(TODAY())+1,MONTH(G54),DAY(G54))-TODAY()
)</f>
        <v>14</v>
      </c>
      <c r="I54" s="28">
        <v>46083</v>
      </c>
      <c r="J54" s="23" t="s">
        <v>176</v>
      </c>
      <c r="K54" s="35">
        <v>4000000</v>
      </c>
      <c r="L54" s="35">
        <v>0</v>
      </c>
      <c r="M54" s="24" t="s">
        <v>177</v>
      </c>
      <c r="N54" s="18">
        <v>1</v>
      </c>
    </row>
    <row r="55" spans="5:14" ht="46.5" x14ac:dyDescent="0.25">
      <c r="E55" s="21">
        <v>57423</v>
      </c>
      <c r="F55" s="21">
        <v>2029572</v>
      </c>
      <c r="G55" s="11">
        <v>27454</v>
      </c>
      <c r="H55" s="12">
        <f ca="1">IF(
  DATE(YEAR(TODAY()),MONTH(G55),DAY(G55))&gt;=TODAY(),
  DATE(YEAR(TODAY()),MONTH(G55),DAY(G55))-TODAY(),
  DATE(YEAR(TODAY())+1,MONTH(G55),DAY(G55))-TODAY()
)</f>
        <v>312</v>
      </c>
      <c r="I55" s="28">
        <v>46083</v>
      </c>
      <c r="J55" s="23" t="s">
        <v>178</v>
      </c>
      <c r="K55" s="35">
        <v>3000000</v>
      </c>
      <c r="L55" s="35">
        <v>0</v>
      </c>
      <c r="M55" s="24" t="s">
        <v>179</v>
      </c>
      <c r="N55" s="18">
        <v>1</v>
      </c>
    </row>
    <row r="56" spans="5:14" ht="46.5" x14ac:dyDescent="0.25">
      <c r="E56" s="21">
        <v>57459</v>
      </c>
      <c r="F56" s="21">
        <v>5492542</v>
      </c>
      <c r="G56" s="11">
        <v>37785</v>
      </c>
      <c r="H56" s="12">
        <f t="shared" ref="H56:H62" ca="1" si="0">IF(
  DATE(YEAR(TODAY()),MONTH(G56),DAY(G56))&gt;=TODAY(),
  DATE(YEAR(TODAY()),MONTH(G56),DAY(G56))-TODAY(),
  DATE(YEAR(TODAY())+1,MONTH(G56),DAY(G56))-TODAY()
)</f>
        <v>51</v>
      </c>
      <c r="I56" s="28">
        <v>46098</v>
      </c>
      <c r="J56" s="23" t="s">
        <v>183</v>
      </c>
      <c r="K56" s="35">
        <v>2900000</v>
      </c>
      <c r="L56" s="35">
        <v>0</v>
      </c>
      <c r="M56" s="24" t="s">
        <v>184</v>
      </c>
      <c r="N56" s="18">
        <v>1</v>
      </c>
    </row>
    <row r="57" spans="5:14" ht="46.5" x14ac:dyDescent="0.25">
      <c r="E57" s="21">
        <v>57467</v>
      </c>
      <c r="F57" s="21">
        <v>6561493</v>
      </c>
      <c r="G57" s="11">
        <v>37727</v>
      </c>
      <c r="H57" s="12">
        <f t="shared" ca="1" si="0"/>
        <v>358</v>
      </c>
      <c r="I57" s="28">
        <v>46100</v>
      </c>
      <c r="J57" s="23" t="s">
        <v>95</v>
      </c>
      <c r="K57" s="35">
        <v>3000000</v>
      </c>
      <c r="L57" s="35">
        <v>0</v>
      </c>
      <c r="M57" s="24" t="s">
        <v>185</v>
      </c>
      <c r="N57" s="18">
        <v>1</v>
      </c>
    </row>
    <row r="58" spans="5:14" ht="46.5" x14ac:dyDescent="0.25">
      <c r="E58" s="21">
        <v>57465</v>
      </c>
      <c r="F58" s="21">
        <v>5285839</v>
      </c>
      <c r="G58" s="11">
        <v>37745</v>
      </c>
      <c r="H58" s="12">
        <f t="shared" ca="1" si="0"/>
        <v>11</v>
      </c>
      <c r="I58" s="28">
        <v>46101</v>
      </c>
      <c r="J58" s="23" t="s">
        <v>186</v>
      </c>
      <c r="K58" s="35">
        <v>3000000</v>
      </c>
      <c r="L58" s="35">
        <v>0</v>
      </c>
      <c r="M58" s="24" t="s">
        <v>187</v>
      </c>
      <c r="N58" s="18">
        <v>1</v>
      </c>
    </row>
    <row r="59" spans="5:14" ht="46.5" x14ac:dyDescent="0.25">
      <c r="E59" s="13">
        <v>57524</v>
      </c>
      <c r="F59" s="13">
        <v>5922025</v>
      </c>
      <c r="G59" s="11">
        <v>39392</v>
      </c>
      <c r="H59" s="12">
        <f t="shared" ca="1" si="0"/>
        <v>197</v>
      </c>
      <c r="I59" s="28">
        <v>46113</v>
      </c>
      <c r="J59" s="13" t="s">
        <v>186</v>
      </c>
      <c r="K59" s="35">
        <v>3000000</v>
      </c>
      <c r="L59" s="35">
        <v>0</v>
      </c>
      <c r="M59" s="13" t="s">
        <v>196</v>
      </c>
      <c r="N59" s="18">
        <v>1</v>
      </c>
    </row>
    <row r="60" spans="5:14" ht="46.5" x14ac:dyDescent="0.25">
      <c r="E60" s="13">
        <v>5158</v>
      </c>
      <c r="F60" s="13">
        <v>2095687</v>
      </c>
      <c r="G60" s="11">
        <v>29642</v>
      </c>
      <c r="H60" s="12">
        <f t="shared" ca="1" si="0"/>
        <v>308</v>
      </c>
      <c r="I60" s="28">
        <v>46106</v>
      </c>
      <c r="J60" s="13" t="s">
        <v>61</v>
      </c>
      <c r="K60" s="35">
        <v>3500000</v>
      </c>
      <c r="L60" s="35">
        <v>0</v>
      </c>
      <c r="M60" s="13" t="s">
        <v>197</v>
      </c>
      <c r="N60" s="18">
        <v>1</v>
      </c>
    </row>
    <row r="61" spans="5:14" ht="46.5" x14ac:dyDescent="0.25">
      <c r="E61" s="13">
        <v>57541</v>
      </c>
      <c r="F61" s="13">
        <v>5707685</v>
      </c>
      <c r="G61" s="11">
        <v>35245</v>
      </c>
      <c r="H61" s="12">
        <f t="shared" ca="1" si="0"/>
        <v>67</v>
      </c>
      <c r="I61" s="28">
        <v>46127</v>
      </c>
      <c r="J61" s="13" t="s">
        <v>178</v>
      </c>
      <c r="K61" s="35">
        <v>3000000</v>
      </c>
      <c r="L61" s="35">
        <v>0</v>
      </c>
      <c r="M61" s="13" t="s">
        <v>203</v>
      </c>
      <c r="N61" s="18">
        <v>1</v>
      </c>
    </row>
    <row r="62" spans="5:14" ht="46.5" x14ac:dyDescent="0.25">
      <c r="E62" s="13">
        <v>57562</v>
      </c>
      <c r="F62" s="13">
        <v>5705302</v>
      </c>
      <c r="G62" s="11">
        <v>38994</v>
      </c>
      <c r="H62" s="12">
        <f t="shared" ca="1" si="0"/>
        <v>164</v>
      </c>
      <c r="I62" s="28">
        <v>46128</v>
      </c>
      <c r="J62" s="13" t="s">
        <v>178</v>
      </c>
      <c r="K62" s="35">
        <v>3000000</v>
      </c>
      <c r="L62" s="35">
        <v>0</v>
      </c>
      <c r="M62" s="13" t="s">
        <v>207</v>
      </c>
      <c r="N62" s="18">
        <v>1</v>
      </c>
    </row>
    <row r="63" spans="5:14" ht="46.5" x14ac:dyDescent="0.5">
      <c r="E63" s="13"/>
      <c r="F63" s="13"/>
      <c r="G63" s="11"/>
      <c r="H63" s="12"/>
      <c r="I63" s="12"/>
      <c r="J63" s="13"/>
      <c r="K63" s="35"/>
      <c r="L63" s="35"/>
      <c r="M63" s="13"/>
      <c r="N63" s="55">
        <f>SUM(N7:N62)</f>
        <v>56</v>
      </c>
    </row>
    <row r="64" spans="5:14" ht="46.5" x14ac:dyDescent="0.25">
      <c r="E64" s="13"/>
      <c r="F64" s="13"/>
      <c r="G64" s="11"/>
      <c r="H64" s="12"/>
      <c r="I64" s="12"/>
      <c r="J64" s="13"/>
      <c r="K64" s="35"/>
      <c r="L64" s="35"/>
      <c r="M64" s="13"/>
    </row>
    <row r="65" spans="5:13" ht="46.5" x14ac:dyDescent="0.25">
      <c r="E65" s="13"/>
      <c r="F65" s="13"/>
      <c r="G65" s="11"/>
      <c r="H65" s="12"/>
      <c r="I65" s="12"/>
      <c r="J65" s="13"/>
      <c r="K65" s="35"/>
      <c r="L65" s="35"/>
      <c r="M65" s="13"/>
    </row>
    <row r="66" spans="5:13" ht="46.5" x14ac:dyDescent="0.25">
      <c r="E66" s="13"/>
      <c r="F66" s="13"/>
      <c r="G66" s="11"/>
      <c r="H66" s="12"/>
      <c r="I66" s="12"/>
      <c r="J66" s="13"/>
      <c r="K66" s="35"/>
      <c r="L66" s="35"/>
      <c r="M66" s="13"/>
    </row>
    <row r="67" spans="5:13" ht="46.5" x14ac:dyDescent="0.25">
      <c r="E67" s="13"/>
      <c r="F67" s="13"/>
      <c r="G67" s="11"/>
      <c r="H67" s="12"/>
      <c r="I67" s="12"/>
      <c r="J67" s="13"/>
      <c r="K67" s="35"/>
      <c r="L67" s="35"/>
      <c r="M67" s="13"/>
    </row>
    <row r="68" spans="5:13" ht="46.5" x14ac:dyDescent="0.25">
      <c r="E68" s="13"/>
      <c r="F68" s="13"/>
      <c r="G68" s="11"/>
      <c r="H68" s="12"/>
      <c r="I68" s="12"/>
      <c r="J68" s="13"/>
      <c r="K68" s="35"/>
      <c r="L68" s="35"/>
      <c r="M68" s="13"/>
    </row>
    <row r="69" spans="5:13" ht="46.5" x14ac:dyDescent="0.25">
      <c r="E69" s="13"/>
      <c r="F69" s="13"/>
      <c r="G69" s="11"/>
      <c r="H69" s="12"/>
      <c r="I69" s="12"/>
      <c r="J69" s="13"/>
      <c r="K69" s="35"/>
      <c r="L69" s="35"/>
      <c r="M69" s="13"/>
    </row>
    <row r="70" spans="5:13" ht="46.5" x14ac:dyDescent="0.25">
      <c r="E70" s="13"/>
      <c r="F70" s="13"/>
      <c r="G70" s="11"/>
      <c r="H70" s="12"/>
      <c r="I70" s="12"/>
      <c r="J70" s="13"/>
      <c r="K70" s="35"/>
      <c r="L70" s="35"/>
      <c r="M70" s="13"/>
    </row>
    <row r="71" spans="5:13" ht="46.5" x14ac:dyDescent="0.25">
      <c r="E71" s="13"/>
      <c r="F71" s="13"/>
      <c r="G71" s="11"/>
      <c r="H71" s="12"/>
      <c r="I71" s="12"/>
      <c r="J71" s="13"/>
      <c r="K71" s="35"/>
      <c r="L71" s="35"/>
      <c r="M71" s="13"/>
    </row>
    <row r="72" spans="5:13" ht="46.5" x14ac:dyDescent="0.25">
      <c r="E72" s="13"/>
      <c r="F72" s="13"/>
      <c r="G72" s="11"/>
      <c r="H72" s="12"/>
      <c r="I72" s="12"/>
      <c r="J72" s="13"/>
      <c r="K72" s="35"/>
      <c r="L72" s="35"/>
      <c r="M72" s="13"/>
    </row>
    <row r="73" spans="5:13" ht="46.5" x14ac:dyDescent="0.25">
      <c r="E73" s="13"/>
      <c r="F73" s="13"/>
      <c r="G73" s="11"/>
      <c r="H73" s="12"/>
      <c r="I73" s="12"/>
      <c r="J73" s="13"/>
      <c r="K73" s="35"/>
      <c r="L73" s="35"/>
      <c r="M73" s="13"/>
    </row>
    <row r="74" spans="5:13" ht="46.5" x14ac:dyDescent="0.25">
      <c r="E74" s="13"/>
      <c r="F74" s="13"/>
      <c r="G74" s="11"/>
      <c r="H74" s="12"/>
      <c r="I74" s="12"/>
      <c r="J74" s="13"/>
      <c r="K74" s="35"/>
      <c r="L74" s="35"/>
      <c r="M74" s="13"/>
    </row>
    <row r="75" spans="5:13" ht="46.5" x14ac:dyDescent="0.25">
      <c r="E75" s="13"/>
      <c r="F75" s="13"/>
      <c r="G75" s="11"/>
      <c r="H75" s="12"/>
      <c r="I75" s="12"/>
      <c r="J75" s="13"/>
      <c r="K75" s="35"/>
      <c r="L75" s="35"/>
      <c r="M75" s="13"/>
    </row>
    <row r="76" spans="5:13" ht="46.5" x14ac:dyDescent="0.25">
      <c r="E76" s="13"/>
      <c r="F76" s="13"/>
      <c r="G76" s="11"/>
      <c r="H76" s="12"/>
      <c r="I76" s="12"/>
      <c r="J76" s="13"/>
      <c r="K76" s="35"/>
      <c r="L76" s="35"/>
      <c r="M76" s="13"/>
    </row>
    <row r="77" spans="5:13" ht="46.5" x14ac:dyDescent="0.25">
      <c r="E77" s="13"/>
      <c r="F77" s="13"/>
      <c r="G77" s="11"/>
      <c r="H77" s="12"/>
      <c r="I77" s="12"/>
      <c r="J77" s="13"/>
      <c r="K77" s="35"/>
      <c r="L77" s="35"/>
      <c r="M77" s="13"/>
    </row>
    <row r="78" spans="5:13" ht="46.5" x14ac:dyDescent="0.25">
      <c r="E78" s="13"/>
      <c r="F78" s="13"/>
      <c r="G78" s="11"/>
      <c r="H78" s="12"/>
      <c r="I78" s="12"/>
      <c r="J78" s="13"/>
      <c r="K78" s="35"/>
      <c r="L78" s="35"/>
      <c r="M78" s="13"/>
    </row>
    <row r="79" spans="5:13" ht="46.5" x14ac:dyDescent="0.25">
      <c r="E79" s="13"/>
      <c r="F79" s="13"/>
      <c r="G79" s="11"/>
      <c r="H79" s="12"/>
      <c r="I79" s="12"/>
      <c r="J79" s="13"/>
      <c r="K79" s="35"/>
      <c r="L79" s="35"/>
      <c r="M79" s="13"/>
    </row>
    <row r="80" spans="5:13" ht="46.5" x14ac:dyDescent="0.25">
      <c r="H80" s="12"/>
      <c r="I80" s="12"/>
    </row>
    <row r="81" spans="8:9" ht="46.5" x14ac:dyDescent="0.25">
      <c r="H81" s="12"/>
      <c r="I81" s="12"/>
    </row>
    <row r="82" spans="8:9" ht="46.5" x14ac:dyDescent="0.25">
      <c r="H82" s="12"/>
      <c r="I82" s="12"/>
    </row>
    <row r="83" spans="8:9" ht="46.5" x14ac:dyDescent="0.25">
      <c r="H83" s="12"/>
      <c r="I83" s="12"/>
    </row>
    <row r="84" spans="8:9" ht="46.5" x14ac:dyDescent="0.25">
      <c r="H84" s="12"/>
      <c r="I84" s="12"/>
    </row>
    <row r="85" spans="8:9" ht="46.5" x14ac:dyDescent="0.25">
      <c r="H85" s="12"/>
      <c r="I85" s="12"/>
    </row>
    <row r="86" spans="8:9" ht="46.5" x14ac:dyDescent="0.25">
      <c r="H86" s="12"/>
      <c r="I86" s="12"/>
    </row>
    <row r="87" spans="8:9" ht="46.5" x14ac:dyDescent="0.25">
      <c r="H87" s="12"/>
      <c r="I87" s="12"/>
    </row>
    <row r="88" spans="8:9" ht="46.5" x14ac:dyDescent="0.25">
      <c r="H88" s="12"/>
      <c r="I88" s="12"/>
    </row>
    <row r="89" spans="8:9" ht="46.5" x14ac:dyDescent="0.25">
      <c r="H89" s="12"/>
      <c r="I89" s="12"/>
    </row>
    <row r="90" spans="8:9" ht="46.5" x14ac:dyDescent="0.25">
      <c r="H90" s="12"/>
      <c r="I90" s="12"/>
    </row>
    <row r="91" spans="8:9" ht="46.5" x14ac:dyDescent="0.25">
      <c r="H91" s="12"/>
      <c r="I91" s="12"/>
    </row>
    <row r="92" spans="8:9" ht="46.5" x14ac:dyDescent="0.25">
      <c r="H92" s="12"/>
      <c r="I92" s="12"/>
    </row>
    <row r="93" spans="8:9" ht="46.5" x14ac:dyDescent="0.25">
      <c r="H93" s="12"/>
      <c r="I93" s="12"/>
    </row>
    <row r="94" spans="8:9" ht="46.5" x14ac:dyDescent="0.25">
      <c r="H94" s="12"/>
      <c r="I94" s="12"/>
    </row>
    <row r="95" spans="8:9" ht="46.5" x14ac:dyDescent="0.25">
      <c r="H95" s="12"/>
      <c r="I95" s="12"/>
    </row>
    <row r="96" spans="8:9" ht="46.5" x14ac:dyDescent="0.25">
      <c r="H96" s="12"/>
      <c r="I96" s="12"/>
    </row>
    <row r="97" spans="8:9" ht="46.5" x14ac:dyDescent="0.25">
      <c r="H97" s="12"/>
      <c r="I97" s="12"/>
    </row>
    <row r="98" spans="8:9" ht="46.5" x14ac:dyDescent="0.25">
      <c r="H98" s="12"/>
      <c r="I98" s="12"/>
    </row>
    <row r="99" spans="8:9" ht="46.5" x14ac:dyDescent="0.25">
      <c r="H99" s="12"/>
      <c r="I99" s="12"/>
    </row>
    <row r="100" spans="8:9" ht="46.5" x14ac:dyDescent="0.25">
      <c r="H100" s="12"/>
      <c r="I100" s="12"/>
    </row>
    <row r="101" spans="8:9" ht="46.5" x14ac:dyDescent="0.25">
      <c r="H101" s="12"/>
      <c r="I101" s="12"/>
    </row>
    <row r="102" spans="8:9" ht="46.5" x14ac:dyDescent="0.25">
      <c r="H102" s="12"/>
      <c r="I102" s="12"/>
    </row>
    <row r="103" spans="8:9" ht="46.5" x14ac:dyDescent="0.25">
      <c r="H103" s="12"/>
      <c r="I103" s="12"/>
    </row>
    <row r="104" spans="8:9" ht="46.5" x14ac:dyDescent="0.25">
      <c r="H104" s="12"/>
      <c r="I104" s="12"/>
    </row>
    <row r="105" spans="8:9" ht="46.5" x14ac:dyDescent="0.25">
      <c r="H105" s="12"/>
      <c r="I105" s="12"/>
    </row>
    <row r="106" spans="8:9" ht="46.5" x14ac:dyDescent="0.25">
      <c r="H106" s="12"/>
      <c r="I106" s="12"/>
    </row>
    <row r="107" spans="8:9" ht="46.5" x14ac:dyDescent="0.25">
      <c r="H107" s="12"/>
      <c r="I107" s="12"/>
    </row>
    <row r="108" spans="8:9" ht="46.5" x14ac:dyDescent="0.25">
      <c r="H108" s="12"/>
      <c r="I108" s="12"/>
    </row>
    <row r="109" spans="8:9" ht="46.5" x14ac:dyDescent="0.25">
      <c r="H109" s="12"/>
      <c r="I109" s="12"/>
    </row>
    <row r="110" spans="8:9" ht="46.5" x14ac:dyDescent="0.25">
      <c r="H110" s="12"/>
      <c r="I110" s="12"/>
    </row>
    <row r="111" spans="8:9" ht="46.5" x14ac:dyDescent="0.25">
      <c r="H111" s="12"/>
      <c r="I111" s="12"/>
    </row>
    <row r="112" spans="8:9" ht="46.5" x14ac:dyDescent="0.25">
      <c r="H112" s="12"/>
      <c r="I112" s="12"/>
    </row>
    <row r="113" spans="8:9" ht="46.5" x14ac:dyDescent="0.25">
      <c r="H113" s="12"/>
      <c r="I113" s="12"/>
    </row>
    <row r="114" spans="8:9" ht="46.5" x14ac:dyDescent="0.25">
      <c r="H114" s="12"/>
      <c r="I114" s="12"/>
    </row>
    <row r="115" spans="8:9" ht="46.5" x14ac:dyDescent="0.25">
      <c r="H115" s="12"/>
      <c r="I115" s="12"/>
    </row>
    <row r="116" spans="8:9" ht="46.5" x14ac:dyDescent="0.25">
      <c r="H116" s="12"/>
      <c r="I116" s="12"/>
    </row>
    <row r="117" spans="8:9" ht="46.5" x14ac:dyDescent="0.25">
      <c r="H117" s="12"/>
      <c r="I117" s="12"/>
    </row>
    <row r="118" spans="8:9" ht="46.5" x14ac:dyDescent="0.25">
      <c r="H118" s="12"/>
      <c r="I118" s="12"/>
    </row>
    <row r="119" spans="8:9" ht="46.5" x14ac:dyDescent="0.25">
      <c r="H119" s="12"/>
      <c r="I119" s="12"/>
    </row>
    <row r="120" spans="8:9" ht="46.5" x14ac:dyDescent="0.25">
      <c r="H120" s="12"/>
      <c r="I120" s="12"/>
    </row>
    <row r="121" spans="8:9" ht="46.5" x14ac:dyDescent="0.25">
      <c r="H121" s="12"/>
      <c r="I121" s="12"/>
    </row>
    <row r="122" spans="8:9" ht="46.5" x14ac:dyDescent="0.25">
      <c r="H122" s="12"/>
      <c r="I122" s="12"/>
    </row>
    <row r="123" spans="8:9" ht="46.5" x14ac:dyDescent="0.25">
      <c r="H123" s="12"/>
      <c r="I123" s="12"/>
    </row>
    <row r="124" spans="8:9" ht="46.5" x14ac:dyDescent="0.25">
      <c r="H124" s="12"/>
      <c r="I124" s="12"/>
    </row>
    <row r="125" spans="8:9" ht="46.5" x14ac:dyDescent="0.25">
      <c r="H125" s="12"/>
      <c r="I125" s="12"/>
    </row>
    <row r="126" spans="8:9" ht="46.5" x14ac:dyDescent="0.25">
      <c r="H126" s="12"/>
      <c r="I126" s="12"/>
    </row>
    <row r="127" spans="8:9" ht="46.5" x14ac:dyDescent="0.25">
      <c r="H127" s="12"/>
      <c r="I127" s="12"/>
    </row>
    <row r="128" spans="8:9" ht="46.5" x14ac:dyDescent="0.25">
      <c r="H128" s="12"/>
      <c r="I128" s="12"/>
    </row>
    <row r="129" spans="8:9" ht="46.5" x14ac:dyDescent="0.25">
      <c r="H129" s="12"/>
      <c r="I129" s="12"/>
    </row>
    <row r="130" spans="8:9" ht="46.5" x14ac:dyDescent="0.25">
      <c r="H130" s="12"/>
      <c r="I130" s="12"/>
    </row>
    <row r="131" spans="8:9" ht="46.5" x14ac:dyDescent="0.25">
      <c r="H131" s="12"/>
      <c r="I131" s="12"/>
    </row>
    <row r="132" spans="8:9" ht="46.5" x14ac:dyDescent="0.25">
      <c r="H132" s="12"/>
      <c r="I132" s="12"/>
    </row>
    <row r="133" spans="8:9" ht="46.5" x14ac:dyDescent="0.25">
      <c r="H133" s="12"/>
      <c r="I133" s="12"/>
    </row>
    <row r="134" spans="8:9" ht="46.5" x14ac:dyDescent="0.25">
      <c r="H134" s="12"/>
      <c r="I134" s="12"/>
    </row>
    <row r="135" spans="8:9" ht="46.5" x14ac:dyDescent="0.25">
      <c r="H135" s="12"/>
      <c r="I135" s="12"/>
    </row>
    <row r="136" spans="8:9" ht="46.5" x14ac:dyDescent="0.25">
      <c r="H136" s="12"/>
      <c r="I136" s="12"/>
    </row>
    <row r="137" spans="8:9" ht="46.5" x14ac:dyDescent="0.25">
      <c r="H137" s="12"/>
      <c r="I137" s="12"/>
    </row>
    <row r="138" spans="8:9" ht="46.5" x14ac:dyDescent="0.25">
      <c r="H138" s="12"/>
      <c r="I138" s="12"/>
    </row>
    <row r="139" spans="8:9" ht="46.5" x14ac:dyDescent="0.25">
      <c r="H139" s="12"/>
      <c r="I139" s="12"/>
    </row>
    <row r="140" spans="8:9" ht="46.5" x14ac:dyDescent="0.25">
      <c r="H140" s="12"/>
      <c r="I140" s="12"/>
    </row>
    <row r="141" spans="8:9" ht="46.5" x14ac:dyDescent="0.25">
      <c r="H141" s="12"/>
      <c r="I141" s="12"/>
    </row>
    <row r="142" spans="8:9" ht="46.5" x14ac:dyDescent="0.25">
      <c r="H142" s="12"/>
      <c r="I142" s="12"/>
    </row>
    <row r="143" spans="8:9" ht="46.5" x14ac:dyDescent="0.25">
      <c r="H143" s="12"/>
      <c r="I143" s="12"/>
    </row>
    <row r="144" spans="8:9" ht="46.5" x14ac:dyDescent="0.25">
      <c r="H144" s="12"/>
      <c r="I144" s="12"/>
    </row>
    <row r="145" spans="8:9" ht="46.5" x14ac:dyDescent="0.25">
      <c r="H145" s="12"/>
      <c r="I145" s="12"/>
    </row>
    <row r="146" spans="8:9" ht="46.5" x14ac:dyDescent="0.25">
      <c r="H146" s="12"/>
      <c r="I146" s="12"/>
    </row>
    <row r="147" spans="8:9" ht="46.5" x14ac:dyDescent="0.25">
      <c r="H147" s="12"/>
      <c r="I147" s="12"/>
    </row>
    <row r="148" spans="8:9" ht="46.5" x14ac:dyDescent="0.25">
      <c r="H148" s="12"/>
      <c r="I148" s="12"/>
    </row>
    <row r="149" spans="8:9" ht="46.5" x14ac:dyDescent="0.25">
      <c r="H149" s="12"/>
      <c r="I149" s="12"/>
    </row>
    <row r="150" spans="8:9" ht="46.5" x14ac:dyDescent="0.25">
      <c r="H150" s="12"/>
      <c r="I150" s="12"/>
    </row>
    <row r="151" spans="8:9" ht="46.5" x14ac:dyDescent="0.25">
      <c r="H151" s="12"/>
      <c r="I151" s="12"/>
    </row>
    <row r="152" spans="8:9" ht="46.5" x14ac:dyDescent="0.25">
      <c r="H152" s="12"/>
      <c r="I152" s="12"/>
    </row>
    <row r="153" spans="8:9" ht="46.5" x14ac:dyDescent="0.25">
      <c r="H153" s="12"/>
      <c r="I153" s="12"/>
    </row>
  </sheetData>
  <mergeCells count="3">
    <mergeCell ref="H5:I5"/>
    <mergeCell ref="E4:M4"/>
    <mergeCell ref="E2:M3"/>
  </mergeCells>
  <conditionalFormatting sqref="E1:E2 E4:E1048576">
    <cfRule type="duplicateValues" priority="3"/>
    <cfRule type="cellIs" dxfId="1" priority="4" operator="equal">
      <formula>28121.5</formula>
    </cfRule>
  </conditionalFormatting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8" tint="0.79995117038483843"/>
  </sheetPr>
  <dimension ref="A1:N60"/>
  <sheetViews>
    <sheetView zoomScale="55" zoomScaleNormal="55" workbookViewId="0">
      <selection activeCell="I6" sqref="I6:I17"/>
    </sheetView>
  </sheetViews>
  <sheetFormatPr baseColWidth="10" defaultColWidth="11.42578125" defaultRowHeight="15" x14ac:dyDescent="0.25"/>
  <cols>
    <col min="1" max="1" width="25.5703125" customWidth="1"/>
    <col min="2" max="2" width="18.5703125" customWidth="1"/>
    <col min="3" max="3" width="38.5703125" customWidth="1"/>
    <col min="4" max="4" width="60.7109375" customWidth="1"/>
    <col min="5" max="5" width="71.28515625" customWidth="1"/>
    <col min="6" max="6" width="54.42578125" customWidth="1"/>
    <col min="7" max="7" width="27.140625" customWidth="1"/>
    <col min="8" max="8" width="27.42578125" bestFit="1" customWidth="1"/>
    <col min="9" max="9" width="72.140625" customWidth="1"/>
    <col min="10" max="11" width="11.42578125" style="18" customWidth="1"/>
    <col min="12" max="16384" width="11.42578125" style="18"/>
  </cols>
  <sheetData>
    <row r="1" spans="1:14" ht="78.75" customHeight="1" x14ac:dyDescent="0.25">
      <c r="A1" s="40" t="s">
        <v>0</v>
      </c>
      <c r="B1" s="44"/>
      <c r="C1" s="44"/>
      <c r="D1" s="44"/>
      <c r="E1" s="44"/>
      <c r="F1" s="44"/>
      <c r="G1" s="44"/>
      <c r="H1" s="44"/>
      <c r="I1" s="44"/>
      <c r="K1" s="9"/>
    </row>
    <row r="2" spans="1:14" ht="24.75" customHeight="1" x14ac:dyDescent="0.25">
      <c r="A2" s="44"/>
      <c r="B2" s="44"/>
      <c r="C2" s="44"/>
      <c r="D2" s="44"/>
      <c r="E2" s="44"/>
      <c r="F2" s="44"/>
      <c r="G2" s="44"/>
      <c r="H2" s="44"/>
      <c r="I2" s="44"/>
      <c r="J2" s="25"/>
      <c r="K2" s="25"/>
      <c r="L2" s="25"/>
      <c r="M2" s="25"/>
      <c r="N2" s="25"/>
    </row>
    <row r="3" spans="1:14" ht="45" customHeight="1" x14ac:dyDescent="0.25">
      <c r="A3" s="46" t="s">
        <v>92</v>
      </c>
      <c r="B3" s="44"/>
      <c r="C3" s="44"/>
      <c r="D3" s="44"/>
      <c r="E3" s="44"/>
      <c r="F3" s="44"/>
      <c r="G3" s="44"/>
      <c r="H3" s="44"/>
      <c r="I3" s="44"/>
      <c r="J3" s="25"/>
      <c r="K3" s="25"/>
      <c r="L3" s="25"/>
      <c r="M3" s="25"/>
      <c r="N3" s="25"/>
    </row>
    <row r="4" spans="1:14" ht="46.5" customHeight="1" x14ac:dyDescent="0.7">
      <c r="A4" s="3"/>
      <c r="B4" s="3"/>
      <c r="C4" s="3"/>
      <c r="D4" s="3"/>
      <c r="E4" s="45" t="s">
        <v>2</v>
      </c>
      <c r="F4" s="44"/>
      <c r="G4" s="43">
        <f ca="1">NOW()</f>
        <v>46135.478733912038</v>
      </c>
      <c r="H4" s="44"/>
      <c r="I4" s="16"/>
      <c r="J4" s="15"/>
      <c r="M4" s="15"/>
      <c r="N4" s="2"/>
    </row>
    <row r="5" spans="1:14" ht="31.5" customHeight="1" x14ac:dyDescent="0.25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34" t="s">
        <v>9</v>
      </c>
      <c r="H5" s="34" t="s">
        <v>10</v>
      </c>
      <c r="I5" s="4" t="s">
        <v>93</v>
      </c>
    </row>
    <row r="6" spans="1:14" ht="31.5" customHeight="1" x14ac:dyDescent="0.25">
      <c r="A6" s="4">
        <v>7561</v>
      </c>
      <c r="B6" s="4">
        <v>3516693</v>
      </c>
      <c r="C6" s="5">
        <v>30039</v>
      </c>
      <c r="D6" s="4">
        <f ca="1">IF(
  DATE(YEAR(TODAY()),MONTH(C6),DAY(C6))&gt;=TODAY(),
  DATE(YEAR(TODAY()),MONTH(C6),DAY(C6))-TODAY(),
  DATE(YEAR(TODAY())+1,MONTH(C6),DAY(C6))-TODAY()
)</f>
        <v>340</v>
      </c>
      <c r="E6" s="29">
        <v>40784</v>
      </c>
      <c r="F6" s="4" t="s">
        <v>67</v>
      </c>
      <c r="G6" s="34">
        <v>3500000</v>
      </c>
      <c r="H6" s="34">
        <v>600000</v>
      </c>
      <c r="I6" s="4" t="s">
        <v>94</v>
      </c>
    </row>
    <row r="7" spans="1:14" ht="31.5" customHeight="1" x14ac:dyDescent="0.25">
      <c r="A7" s="4">
        <v>45197</v>
      </c>
      <c r="B7" s="4">
        <v>5169225</v>
      </c>
      <c r="C7" s="5">
        <v>32969</v>
      </c>
      <c r="D7" s="4">
        <f t="shared" ref="D7:D14" ca="1" si="0">IF(
DATE(YEAR(TODAY()),MONTH(C7),DAY(C7))&gt;=TODAY(),
DATE(YEAR(TODAY()),MONTH(C7),DAY(C7))-TODAY(),
DATE(YEAR(TODAY())+1,MONTH(C7),DAY(C7))-TODAY()
)</f>
        <v>348</v>
      </c>
      <c r="E7" s="29">
        <v>45887</v>
      </c>
      <c r="F7" s="4" t="s">
        <v>95</v>
      </c>
      <c r="G7" s="34">
        <v>3000000</v>
      </c>
      <c r="H7" s="34"/>
      <c r="I7" s="4" t="s">
        <v>96</v>
      </c>
    </row>
    <row r="8" spans="1:14" ht="31.5" customHeight="1" x14ac:dyDescent="0.25">
      <c r="A8" s="4">
        <v>1495</v>
      </c>
      <c r="B8" s="4">
        <v>905811</v>
      </c>
      <c r="C8" s="5">
        <v>22401</v>
      </c>
      <c r="D8" s="4">
        <f t="shared" ca="1" si="0"/>
        <v>7</v>
      </c>
      <c r="E8" s="29">
        <v>37834</v>
      </c>
      <c r="F8" s="4" t="s">
        <v>97</v>
      </c>
      <c r="G8" s="34">
        <v>6000000</v>
      </c>
      <c r="H8" s="34">
        <v>2500000</v>
      </c>
      <c r="I8" s="4" t="s">
        <v>98</v>
      </c>
    </row>
    <row r="9" spans="1:14" ht="31.5" customHeight="1" x14ac:dyDescent="0.25">
      <c r="A9" s="4">
        <v>20694</v>
      </c>
      <c r="B9" s="4">
        <v>7128023</v>
      </c>
      <c r="C9" s="5">
        <v>22828</v>
      </c>
      <c r="D9" s="4">
        <f t="shared" ca="1" si="0"/>
        <v>69</v>
      </c>
      <c r="E9" s="29">
        <v>40690</v>
      </c>
      <c r="F9" s="4" t="s">
        <v>15</v>
      </c>
      <c r="G9" s="34">
        <v>3100000</v>
      </c>
      <c r="H9" s="34">
        <v>0</v>
      </c>
      <c r="I9" s="4" t="s">
        <v>99</v>
      </c>
    </row>
    <row r="10" spans="1:14" ht="31.5" customHeight="1" x14ac:dyDescent="0.25">
      <c r="A10" s="4">
        <v>55</v>
      </c>
      <c r="B10" s="4">
        <v>1235431</v>
      </c>
      <c r="C10" s="5">
        <v>24662</v>
      </c>
      <c r="D10" s="4">
        <f t="shared" ca="1" si="0"/>
        <v>77</v>
      </c>
      <c r="E10" s="29">
        <v>40558</v>
      </c>
      <c r="F10" s="4" t="s">
        <v>100</v>
      </c>
      <c r="G10" s="34">
        <v>3200000</v>
      </c>
      <c r="H10" s="34">
        <v>0</v>
      </c>
      <c r="I10" s="4" t="s">
        <v>101</v>
      </c>
    </row>
    <row r="11" spans="1:14" ht="31.5" customHeight="1" x14ac:dyDescent="0.25">
      <c r="A11" s="4">
        <v>54159</v>
      </c>
      <c r="B11" s="4">
        <v>5137134</v>
      </c>
      <c r="C11" s="5">
        <v>32800</v>
      </c>
      <c r="D11" s="4">
        <f t="shared" ca="1" si="0"/>
        <v>179</v>
      </c>
      <c r="E11" s="29">
        <v>45231</v>
      </c>
      <c r="F11" s="4" t="s">
        <v>104</v>
      </c>
      <c r="G11" s="34">
        <v>3500000</v>
      </c>
      <c r="H11" s="34">
        <v>600000</v>
      </c>
      <c r="I11" s="4" t="s">
        <v>105</v>
      </c>
    </row>
    <row r="12" spans="1:14" ht="31.5" customHeight="1" x14ac:dyDescent="0.25">
      <c r="A12" s="4">
        <v>56956</v>
      </c>
      <c r="B12" s="4">
        <v>4784429</v>
      </c>
      <c r="C12" s="5">
        <v>32457</v>
      </c>
      <c r="D12" s="4">
        <f t="shared" ca="1" si="0"/>
        <v>201</v>
      </c>
      <c r="E12" s="29">
        <v>45971</v>
      </c>
      <c r="F12" s="4" t="s">
        <v>106</v>
      </c>
      <c r="G12" s="34">
        <v>1875580</v>
      </c>
      <c r="H12" s="34">
        <v>0</v>
      </c>
      <c r="I12" s="4" t="s">
        <v>107</v>
      </c>
    </row>
    <row r="13" spans="1:14" ht="31.5" customHeight="1" x14ac:dyDescent="0.25">
      <c r="A13" s="4">
        <v>46622</v>
      </c>
      <c r="B13" s="4">
        <v>3653271</v>
      </c>
      <c r="C13" s="5">
        <v>34653</v>
      </c>
      <c r="D13" s="4">
        <f t="shared" ca="1" si="0"/>
        <v>206</v>
      </c>
      <c r="E13" s="29">
        <v>43782</v>
      </c>
      <c r="F13" s="4" t="s">
        <v>67</v>
      </c>
      <c r="G13" s="34">
        <v>3500000</v>
      </c>
      <c r="H13" s="34">
        <v>600000</v>
      </c>
      <c r="I13" s="4" t="s">
        <v>108</v>
      </c>
    </row>
    <row r="14" spans="1:14" ht="31.5" customHeight="1" x14ac:dyDescent="0.25">
      <c r="A14" s="4">
        <v>51638</v>
      </c>
      <c r="B14" s="4">
        <v>6189473</v>
      </c>
      <c r="C14" s="5">
        <v>34363</v>
      </c>
      <c r="D14" s="4">
        <f t="shared" ca="1" si="0"/>
        <v>281</v>
      </c>
      <c r="E14" s="29">
        <v>44810</v>
      </c>
      <c r="F14" s="4" t="s">
        <v>14</v>
      </c>
      <c r="G14" s="34">
        <v>3000000</v>
      </c>
      <c r="H14" s="34">
        <v>200000</v>
      </c>
      <c r="I14" s="4" t="s">
        <v>109</v>
      </c>
    </row>
    <row r="15" spans="1:14" ht="24" customHeight="1" x14ac:dyDescent="0.25">
      <c r="A15" s="4">
        <v>54922</v>
      </c>
      <c r="B15" s="4">
        <v>6767545</v>
      </c>
      <c r="C15" s="5">
        <v>37556</v>
      </c>
      <c r="D15" s="4">
        <v>211</v>
      </c>
      <c r="E15" s="29">
        <v>45418</v>
      </c>
      <c r="F15" s="4" t="s">
        <v>194</v>
      </c>
      <c r="G15" s="34">
        <v>3200000</v>
      </c>
      <c r="H15" s="34">
        <v>0</v>
      </c>
      <c r="I15" s="4" t="s">
        <v>63</v>
      </c>
    </row>
    <row r="16" spans="1:14" ht="24" customHeight="1" x14ac:dyDescent="0.25">
      <c r="A16" s="4">
        <v>52126</v>
      </c>
      <c r="B16" s="4">
        <v>4243641</v>
      </c>
      <c r="C16" s="5">
        <v>30254</v>
      </c>
      <c r="D16" s="4">
        <v>214</v>
      </c>
      <c r="E16" s="29">
        <v>44876</v>
      </c>
      <c r="F16" s="4" t="s">
        <v>100</v>
      </c>
      <c r="G16" s="34">
        <v>3100000</v>
      </c>
      <c r="H16" s="34">
        <v>0</v>
      </c>
      <c r="I16" s="4" t="s">
        <v>66</v>
      </c>
    </row>
    <row r="17" spans="1:9" ht="24" customHeight="1" x14ac:dyDescent="0.25">
      <c r="A17" s="1"/>
      <c r="B17" s="1"/>
      <c r="C17" s="1"/>
      <c r="D17" s="7"/>
      <c r="E17" s="30"/>
      <c r="F17" s="1"/>
      <c r="G17" s="1"/>
      <c r="H17" s="1"/>
      <c r="I17" s="1"/>
    </row>
    <row r="18" spans="1:9" ht="24" customHeight="1" x14ac:dyDescent="0.25">
      <c r="A18" s="1"/>
      <c r="B18" s="1"/>
      <c r="C18" s="1"/>
      <c r="D18" s="7"/>
      <c r="E18" s="30"/>
      <c r="F18" s="1"/>
      <c r="G18" s="1"/>
      <c r="H18" s="1"/>
      <c r="I18" s="1"/>
    </row>
    <row r="19" spans="1:9" ht="24" customHeight="1" x14ac:dyDescent="0.25">
      <c r="A19" s="1"/>
      <c r="B19" s="1"/>
      <c r="C19" s="1"/>
      <c r="D19" s="7"/>
      <c r="E19" s="30"/>
      <c r="F19" s="1"/>
      <c r="G19" s="1"/>
      <c r="H19" s="1"/>
      <c r="I19" s="1"/>
    </row>
    <row r="20" spans="1:9" ht="24" customHeight="1" x14ac:dyDescent="0.25">
      <c r="A20" s="1"/>
      <c r="B20" s="1"/>
      <c r="C20" s="1"/>
      <c r="D20" s="7"/>
      <c r="E20" s="30"/>
      <c r="F20" s="1"/>
      <c r="G20" s="1"/>
      <c r="H20" s="1"/>
      <c r="I20" s="1"/>
    </row>
    <row r="21" spans="1:9" ht="24" customHeight="1" x14ac:dyDescent="0.25">
      <c r="A21" s="1"/>
      <c r="B21" s="1"/>
      <c r="C21" s="1"/>
      <c r="D21" s="7"/>
      <c r="E21" s="30"/>
      <c r="F21" s="1"/>
      <c r="G21" s="1"/>
      <c r="H21" s="1"/>
      <c r="I21" s="1"/>
    </row>
    <row r="22" spans="1:9" ht="24" customHeight="1" x14ac:dyDescent="0.25">
      <c r="A22" s="1"/>
      <c r="B22" s="1"/>
      <c r="C22" s="1"/>
      <c r="D22" s="7"/>
      <c r="E22" s="30"/>
      <c r="F22" s="1"/>
      <c r="G22" s="1"/>
      <c r="H22" s="1"/>
      <c r="I22" s="1"/>
    </row>
    <row r="23" spans="1:9" ht="24" customHeight="1" x14ac:dyDescent="0.25">
      <c r="A23" s="1"/>
      <c r="B23" s="1"/>
      <c r="C23" s="1"/>
      <c r="D23" s="7"/>
      <c r="E23" s="30"/>
      <c r="F23" s="1"/>
      <c r="G23" s="1"/>
      <c r="H23" s="1"/>
      <c r="I23" s="1"/>
    </row>
    <row r="24" spans="1:9" ht="24" customHeight="1" x14ac:dyDescent="0.25">
      <c r="A24" s="1"/>
      <c r="B24" s="1"/>
      <c r="C24" s="1"/>
      <c r="D24" s="7"/>
      <c r="E24" s="30"/>
      <c r="F24" s="1"/>
      <c r="G24" s="1"/>
      <c r="H24" s="1"/>
      <c r="I24" s="1"/>
    </row>
    <row r="25" spans="1:9" ht="24" customHeight="1" x14ac:dyDescent="0.25">
      <c r="A25" s="1"/>
      <c r="B25" s="1"/>
      <c r="C25" s="1"/>
      <c r="D25" s="7"/>
      <c r="E25" s="30"/>
      <c r="F25" s="1"/>
      <c r="G25" s="1"/>
      <c r="H25" s="1"/>
      <c r="I25" s="1"/>
    </row>
    <row r="26" spans="1:9" ht="24" customHeight="1" x14ac:dyDescent="0.25">
      <c r="A26" s="1"/>
      <c r="B26" s="1"/>
      <c r="C26" s="1"/>
      <c r="D26" s="7"/>
      <c r="E26" s="30"/>
      <c r="F26" s="1"/>
      <c r="G26" s="1"/>
      <c r="H26" s="1"/>
      <c r="I26" s="1"/>
    </row>
    <row r="27" spans="1:9" ht="24" customHeight="1" x14ac:dyDescent="0.25">
      <c r="A27" s="1"/>
      <c r="B27" s="1"/>
      <c r="C27" s="1"/>
      <c r="D27" s="7"/>
      <c r="E27" s="30"/>
      <c r="F27" s="1"/>
      <c r="G27" s="1"/>
      <c r="H27" s="1"/>
      <c r="I27" s="1"/>
    </row>
    <row r="28" spans="1:9" ht="24" customHeight="1" x14ac:dyDescent="0.25">
      <c r="A28" s="1"/>
      <c r="B28" s="1"/>
      <c r="C28" s="1"/>
      <c r="D28" s="7"/>
      <c r="E28" s="30"/>
      <c r="F28" s="1"/>
      <c r="G28" s="1"/>
      <c r="H28" s="1"/>
      <c r="I28" s="1"/>
    </row>
    <row r="29" spans="1:9" ht="24" customHeight="1" x14ac:dyDescent="0.25">
      <c r="A29" s="1"/>
      <c r="B29" s="1"/>
      <c r="C29" s="1"/>
      <c r="D29" s="7"/>
      <c r="E29" s="30"/>
      <c r="F29" s="1"/>
      <c r="G29" s="1"/>
      <c r="H29" s="1"/>
      <c r="I29" s="1"/>
    </row>
    <row r="30" spans="1:9" ht="24" customHeight="1" x14ac:dyDescent="0.25">
      <c r="A30" s="1"/>
      <c r="B30" s="1"/>
      <c r="C30" s="1"/>
      <c r="D30" s="7"/>
      <c r="E30" s="30"/>
      <c r="F30" s="1"/>
      <c r="G30" s="1"/>
      <c r="H30" s="1"/>
      <c r="I30" s="1"/>
    </row>
    <row r="31" spans="1:9" ht="24" customHeight="1" x14ac:dyDescent="0.25">
      <c r="A31" s="1"/>
      <c r="B31" s="1"/>
      <c r="C31" s="1"/>
      <c r="D31" s="7"/>
      <c r="E31" s="30"/>
      <c r="F31" s="1"/>
      <c r="G31" s="1"/>
      <c r="H31" s="1"/>
      <c r="I31" s="1"/>
    </row>
    <row r="32" spans="1:9" ht="24" customHeight="1" x14ac:dyDescent="0.25">
      <c r="A32" s="1"/>
      <c r="B32" s="1"/>
      <c r="C32" s="1"/>
      <c r="D32" s="7"/>
      <c r="E32" s="30"/>
      <c r="F32" s="1"/>
      <c r="G32" s="1"/>
      <c r="H32" s="1"/>
      <c r="I32" s="1"/>
    </row>
    <row r="33" spans="1:9" ht="24" customHeight="1" x14ac:dyDescent="0.25">
      <c r="A33" s="1"/>
      <c r="B33" s="1"/>
      <c r="C33" s="1"/>
      <c r="D33" s="7"/>
      <c r="E33" s="30"/>
      <c r="F33" s="1"/>
      <c r="G33" s="1"/>
      <c r="H33" s="1"/>
      <c r="I33" s="1"/>
    </row>
    <row r="34" spans="1:9" ht="24" customHeight="1" x14ac:dyDescent="0.25">
      <c r="A34" s="1"/>
      <c r="B34" s="1"/>
      <c r="C34" s="1"/>
      <c r="D34" s="7"/>
      <c r="E34" s="30"/>
      <c r="F34" s="1"/>
      <c r="G34" s="1"/>
      <c r="H34" s="1"/>
      <c r="I34" s="1"/>
    </row>
    <row r="35" spans="1:9" ht="24" customHeight="1" x14ac:dyDescent="0.25">
      <c r="A35" s="1"/>
      <c r="B35" s="1"/>
      <c r="C35" s="1"/>
      <c r="D35" s="7"/>
      <c r="E35" s="30"/>
      <c r="F35" s="1"/>
      <c r="G35" s="1"/>
      <c r="H35" s="1"/>
      <c r="I35" s="1"/>
    </row>
    <row r="36" spans="1:9" ht="24" customHeight="1" x14ac:dyDescent="0.25">
      <c r="A36" s="1"/>
      <c r="B36" s="1"/>
      <c r="C36" s="1"/>
      <c r="D36" s="7"/>
      <c r="E36" s="30"/>
      <c r="F36" s="1"/>
      <c r="G36" s="1"/>
      <c r="H36" s="1"/>
      <c r="I36" s="1"/>
    </row>
    <row r="37" spans="1:9" ht="24" customHeight="1" x14ac:dyDescent="0.25">
      <c r="A37" s="1"/>
      <c r="B37" s="1"/>
      <c r="C37" s="1"/>
      <c r="D37" s="7"/>
      <c r="E37" s="30"/>
      <c r="F37" s="1"/>
      <c r="G37" s="1"/>
      <c r="H37" s="1"/>
      <c r="I37" s="1"/>
    </row>
    <row r="38" spans="1:9" ht="24" customHeight="1" x14ac:dyDescent="0.25">
      <c r="A38" s="1"/>
      <c r="B38" s="1"/>
      <c r="C38" s="1"/>
      <c r="D38" s="7"/>
      <c r="E38" s="30"/>
      <c r="F38" s="1"/>
      <c r="G38" s="1"/>
      <c r="H38" s="1"/>
      <c r="I38" s="1"/>
    </row>
    <row r="39" spans="1:9" ht="24" customHeight="1" x14ac:dyDescent="0.25">
      <c r="A39" s="1"/>
      <c r="B39" s="1"/>
      <c r="C39" s="1"/>
      <c r="D39" s="7"/>
      <c r="E39" s="30"/>
      <c r="F39" s="1"/>
      <c r="G39" s="1"/>
      <c r="H39" s="1"/>
      <c r="I39" s="1"/>
    </row>
    <row r="40" spans="1:9" ht="24" customHeight="1" x14ac:dyDescent="0.25">
      <c r="A40" s="1"/>
      <c r="B40" s="1"/>
      <c r="C40" s="1"/>
      <c r="D40" s="7"/>
      <c r="E40" s="30"/>
      <c r="F40" s="1"/>
      <c r="G40" s="1"/>
      <c r="H40" s="1"/>
      <c r="I40" s="1"/>
    </row>
    <row r="41" spans="1:9" ht="24" customHeight="1" x14ac:dyDescent="0.25">
      <c r="A41" s="1"/>
      <c r="B41" s="1"/>
      <c r="C41" s="1"/>
      <c r="D41" s="7"/>
      <c r="E41" s="30"/>
      <c r="F41" s="1"/>
      <c r="G41" s="1"/>
      <c r="H41" s="1"/>
      <c r="I41" s="1"/>
    </row>
    <row r="42" spans="1:9" ht="24" customHeight="1" x14ac:dyDescent="0.25">
      <c r="A42" s="1"/>
      <c r="B42" s="1"/>
      <c r="C42" s="1"/>
      <c r="D42" s="7"/>
      <c r="E42" s="30"/>
      <c r="F42" s="1"/>
      <c r="G42" s="1"/>
      <c r="H42" s="1"/>
      <c r="I42" s="1"/>
    </row>
    <row r="43" spans="1:9" ht="24" customHeight="1" x14ac:dyDescent="0.25">
      <c r="A43" s="1"/>
      <c r="B43" s="1"/>
      <c r="C43" s="1"/>
      <c r="D43" s="7"/>
      <c r="E43" s="30"/>
      <c r="F43" s="1"/>
      <c r="G43" s="1"/>
      <c r="H43" s="1"/>
      <c r="I43" s="1"/>
    </row>
    <row r="44" spans="1:9" ht="24" customHeight="1" x14ac:dyDescent="0.25">
      <c r="A44" s="1"/>
      <c r="B44" s="1"/>
      <c r="C44" s="1"/>
      <c r="D44" s="7"/>
      <c r="E44" s="30"/>
      <c r="F44" s="1"/>
      <c r="G44" s="1"/>
      <c r="H44" s="1"/>
      <c r="I44" s="1"/>
    </row>
    <row r="45" spans="1:9" ht="24" customHeight="1" x14ac:dyDescent="0.25">
      <c r="A45" s="1"/>
      <c r="B45" s="1"/>
      <c r="C45" s="1"/>
      <c r="D45" s="7"/>
      <c r="E45" s="30"/>
      <c r="F45" s="1"/>
      <c r="G45" s="1"/>
      <c r="H45" s="1"/>
      <c r="I45" s="1"/>
    </row>
    <row r="46" spans="1:9" ht="24" customHeight="1" x14ac:dyDescent="0.25">
      <c r="A46" s="1"/>
      <c r="B46" s="1"/>
      <c r="C46" s="1"/>
      <c r="D46" s="7"/>
      <c r="E46" s="30"/>
      <c r="F46" s="1"/>
      <c r="G46" s="1"/>
      <c r="H46" s="1"/>
      <c r="I46" s="1"/>
    </row>
    <row r="47" spans="1:9" ht="24" customHeight="1" x14ac:dyDescent="0.25">
      <c r="A47" s="1"/>
      <c r="B47" s="1"/>
      <c r="C47" s="1"/>
      <c r="D47" s="7"/>
      <c r="E47" s="30"/>
      <c r="F47" s="1"/>
      <c r="G47" s="1"/>
      <c r="H47" s="1"/>
      <c r="I47" s="1"/>
    </row>
    <row r="48" spans="1:9" ht="24" customHeight="1" x14ac:dyDescent="0.25">
      <c r="A48" s="1"/>
      <c r="B48" s="1"/>
      <c r="C48" s="1"/>
      <c r="D48" s="7"/>
      <c r="E48" s="30"/>
      <c r="F48" s="1"/>
      <c r="G48" s="1"/>
      <c r="H48" s="1"/>
      <c r="I48" s="1"/>
    </row>
    <row r="49" spans="1:9" ht="24" customHeight="1" x14ac:dyDescent="0.25">
      <c r="A49" s="1"/>
      <c r="B49" s="1"/>
      <c r="C49" s="1"/>
      <c r="D49" s="7"/>
      <c r="E49" s="30"/>
      <c r="F49" s="1"/>
      <c r="G49" s="1"/>
      <c r="H49" s="1"/>
      <c r="I49" s="1"/>
    </row>
    <row r="50" spans="1:9" ht="24" customHeight="1" x14ac:dyDescent="0.25">
      <c r="A50" s="1"/>
      <c r="B50" s="1"/>
      <c r="C50" s="1"/>
      <c r="D50" s="7"/>
      <c r="E50" s="30"/>
      <c r="F50" s="1"/>
      <c r="G50" s="1"/>
      <c r="H50" s="1"/>
      <c r="I50" s="1"/>
    </row>
    <row r="51" spans="1:9" ht="24" customHeight="1" x14ac:dyDescent="0.25">
      <c r="A51" s="1"/>
      <c r="B51" s="1"/>
      <c r="C51" s="1"/>
      <c r="D51" s="7"/>
      <c r="E51" s="30"/>
      <c r="F51" s="1"/>
      <c r="G51" s="1"/>
      <c r="H51" s="1"/>
      <c r="I51" s="1"/>
    </row>
    <row r="52" spans="1:9" ht="24" customHeight="1" x14ac:dyDescent="0.25">
      <c r="A52" s="1"/>
      <c r="B52" s="1"/>
      <c r="C52" s="1"/>
      <c r="D52" s="7"/>
      <c r="E52" s="30"/>
      <c r="F52" s="1"/>
      <c r="G52" s="1"/>
      <c r="H52" s="1"/>
      <c r="I52" s="1"/>
    </row>
    <row r="53" spans="1:9" ht="24" customHeight="1" x14ac:dyDescent="0.25">
      <c r="A53" s="1"/>
      <c r="B53" s="1"/>
      <c r="C53" s="1"/>
      <c r="D53" s="7"/>
      <c r="E53" s="30"/>
      <c r="F53" s="1"/>
      <c r="G53" s="1"/>
      <c r="H53" s="1"/>
      <c r="I53" s="1"/>
    </row>
    <row r="54" spans="1:9" ht="24" customHeight="1" x14ac:dyDescent="0.25">
      <c r="A54" s="1"/>
      <c r="B54" s="1"/>
      <c r="C54" s="1"/>
      <c r="D54" s="7"/>
      <c r="E54" s="30"/>
      <c r="F54" s="1"/>
      <c r="G54" s="1"/>
      <c r="H54" s="1"/>
      <c r="I54" s="1"/>
    </row>
    <row r="55" spans="1:9" ht="24" customHeight="1" x14ac:dyDescent="0.25">
      <c r="A55" s="1"/>
      <c r="B55" s="1"/>
      <c r="C55" s="1"/>
      <c r="D55" s="7"/>
      <c r="E55" s="30"/>
      <c r="F55" s="1"/>
      <c r="G55" s="1"/>
      <c r="H55" s="1"/>
      <c r="I55" s="1"/>
    </row>
    <row r="56" spans="1:9" ht="24" customHeight="1" x14ac:dyDescent="0.25">
      <c r="A56" s="1"/>
      <c r="B56" s="1"/>
      <c r="C56" s="1"/>
      <c r="D56" s="7"/>
      <c r="E56" s="30"/>
      <c r="F56" s="1"/>
      <c r="G56" s="1"/>
      <c r="H56" s="1"/>
      <c r="I56" s="1"/>
    </row>
    <row r="57" spans="1:9" ht="24" customHeight="1" x14ac:dyDescent="0.25">
      <c r="A57" s="1"/>
      <c r="B57" s="1"/>
      <c r="C57" s="1"/>
      <c r="D57" s="7"/>
      <c r="E57" s="30"/>
      <c r="F57" s="1"/>
      <c r="G57" s="1"/>
      <c r="H57" s="1"/>
      <c r="I57" s="1"/>
    </row>
    <row r="58" spans="1:9" ht="24" customHeight="1" x14ac:dyDescent="0.25">
      <c r="A58" s="1"/>
      <c r="B58" s="1"/>
      <c r="C58" s="1"/>
      <c r="D58" s="7"/>
      <c r="E58" s="30"/>
      <c r="F58" s="1"/>
      <c r="G58" s="1"/>
      <c r="H58" s="1"/>
      <c r="I58" s="1"/>
    </row>
    <row r="59" spans="1:9" ht="24" customHeight="1" x14ac:dyDescent="0.25">
      <c r="A59" s="1"/>
      <c r="B59" s="1"/>
      <c r="C59" s="1"/>
      <c r="D59" s="7"/>
      <c r="E59" s="30"/>
      <c r="F59" s="1"/>
      <c r="G59" s="1"/>
      <c r="H59" s="1"/>
      <c r="I59" s="1"/>
    </row>
    <row r="60" spans="1:9" ht="24" customHeight="1" x14ac:dyDescent="0.25">
      <c r="A60" s="1"/>
      <c r="B60" s="1"/>
      <c r="C60" s="1"/>
      <c r="D60" s="7"/>
      <c r="E60" s="30"/>
      <c r="F60" s="1"/>
      <c r="G60" s="1"/>
      <c r="H60" s="1"/>
      <c r="I60" s="1"/>
    </row>
  </sheetData>
  <mergeCells count="4">
    <mergeCell ref="G4:H4"/>
    <mergeCell ref="E4:F4"/>
    <mergeCell ref="A1:I2"/>
    <mergeCell ref="A3:I3"/>
  </mergeCells>
  <pageMargins left="0.7" right="0.7" top="0.75" bottom="0.75" header="0.3" footer="0.3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5" tint="0.79995117038483843"/>
  </sheetPr>
  <dimension ref="A1:N59"/>
  <sheetViews>
    <sheetView zoomScale="70" zoomScaleNormal="70" workbookViewId="0">
      <selection activeCell="J6" sqref="I6:J14"/>
    </sheetView>
  </sheetViews>
  <sheetFormatPr baseColWidth="10" defaultColWidth="11.42578125" defaultRowHeight="15" x14ac:dyDescent="0.25"/>
  <cols>
    <col min="1" max="1" width="25.140625" customWidth="1"/>
    <col min="2" max="2" width="14.5703125" customWidth="1"/>
    <col min="3" max="3" width="26.85546875" customWidth="1"/>
    <col min="4" max="4" width="44.5703125" customWidth="1"/>
    <col min="5" max="5" width="99.140625" customWidth="1"/>
    <col min="6" max="6" width="49.5703125" bestFit="1" customWidth="1"/>
    <col min="7" max="7" width="23" bestFit="1" customWidth="1"/>
    <col min="8" max="8" width="21" bestFit="1" customWidth="1"/>
    <col min="9" max="9" width="52.7109375" customWidth="1"/>
    <col min="10" max="11" width="11.42578125" style="18" customWidth="1"/>
    <col min="12" max="16384" width="11.42578125" style="18"/>
  </cols>
  <sheetData>
    <row r="1" spans="1:14" ht="78" customHeight="1" x14ac:dyDescent="0.25">
      <c r="A1" s="40" t="s">
        <v>0</v>
      </c>
      <c r="B1" s="44"/>
      <c r="C1" s="44"/>
      <c r="D1" s="44"/>
      <c r="E1" s="44"/>
      <c r="F1" s="44"/>
      <c r="G1" s="44"/>
      <c r="H1" s="44"/>
      <c r="I1" s="44"/>
      <c r="K1" s="9"/>
    </row>
    <row r="2" spans="1:14" ht="22.5" customHeight="1" x14ac:dyDescent="0.25">
      <c r="A2" s="44"/>
      <c r="B2" s="44"/>
      <c r="C2" s="44"/>
      <c r="D2" s="44"/>
      <c r="E2" s="44"/>
      <c r="F2" s="44"/>
      <c r="G2" s="44"/>
      <c r="H2" s="44"/>
      <c r="I2" s="44"/>
      <c r="J2" s="25"/>
      <c r="K2" s="25"/>
      <c r="L2" s="25"/>
      <c r="M2" s="25"/>
      <c r="N2" s="25"/>
    </row>
    <row r="3" spans="1:14" ht="45" customHeight="1" x14ac:dyDescent="0.25">
      <c r="A3" s="46" t="s">
        <v>110</v>
      </c>
      <c r="B3" s="44"/>
      <c r="C3" s="44"/>
      <c r="D3" s="44"/>
      <c r="E3" s="44"/>
      <c r="F3" s="44"/>
      <c r="G3" s="44"/>
      <c r="H3" s="44"/>
      <c r="I3" s="44"/>
      <c r="J3" s="25"/>
      <c r="K3" s="25"/>
      <c r="L3" s="25"/>
      <c r="M3" s="25"/>
      <c r="N3" s="25"/>
    </row>
    <row r="4" spans="1:14" ht="46.5" customHeight="1" x14ac:dyDescent="0.7">
      <c r="A4" s="3"/>
      <c r="B4" s="3"/>
      <c r="C4" s="3"/>
      <c r="D4" s="3"/>
      <c r="E4" s="31" t="s">
        <v>2</v>
      </c>
      <c r="F4" s="16">
        <f ca="1">NOW()</f>
        <v>46135.478733912038</v>
      </c>
      <c r="G4" s="16"/>
      <c r="H4" s="16"/>
      <c r="I4" s="16"/>
      <c r="J4" s="15"/>
      <c r="M4" s="15"/>
      <c r="N4" s="2"/>
    </row>
    <row r="5" spans="1:14" ht="24" customHeight="1" x14ac:dyDescent="0.25">
      <c r="A5" s="1" t="s">
        <v>3</v>
      </c>
      <c r="B5" s="1" t="s">
        <v>4</v>
      </c>
      <c r="C5" s="1" t="s">
        <v>5</v>
      </c>
      <c r="D5" s="1" t="s">
        <v>6</v>
      </c>
      <c r="E5" s="1" t="s">
        <v>7</v>
      </c>
      <c r="F5" s="1" t="s">
        <v>8</v>
      </c>
      <c r="G5" s="33" t="s">
        <v>9</v>
      </c>
      <c r="H5" s="33" t="s">
        <v>10</v>
      </c>
      <c r="I5" s="1" t="s">
        <v>111</v>
      </c>
    </row>
    <row r="6" spans="1:14" ht="24" customHeight="1" x14ac:dyDescent="0.25">
      <c r="A6" s="1">
        <v>44900</v>
      </c>
      <c r="B6" s="1">
        <v>2211383</v>
      </c>
      <c r="C6" s="6">
        <v>30033</v>
      </c>
      <c r="D6" s="1">
        <f ca="1">IF(
  DATE(YEAR(TODAY()),MONTH(C6),DAY(C6))&gt;=TODAY(),
  DATE(YEAR(TODAY()),MONTH(C6),DAY(C6))-TODAY(),
  DATE(YEAR(TODAY())+1,MONTH(C6),DAY(C6))-TODAY()
)</f>
        <v>334</v>
      </c>
      <c r="E6" s="30">
        <v>45572</v>
      </c>
      <c r="F6" s="1" t="s">
        <v>67</v>
      </c>
      <c r="G6" s="33">
        <v>3300000</v>
      </c>
      <c r="H6" s="33">
        <v>300000</v>
      </c>
      <c r="I6" s="1" t="s">
        <v>112</v>
      </c>
    </row>
    <row r="7" spans="1:14" ht="24" customHeight="1" x14ac:dyDescent="0.25">
      <c r="A7" s="1">
        <v>53116</v>
      </c>
      <c r="B7" s="1">
        <v>4314143</v>
      </c>
      <c r="C7" s="6">
        <v>31140</v>
      </c>
      <c r="D7" s="1">
        <f ca="1">IF(
DATE(YEAR(TODAY()),MONTH(C7),DAY(C7))&gt;=TODAY(),
DATE(YEAR(TODAY()),MONTH(C7),DAY(C7))-TODAY(),
DATE(YEAR(TODAY())+1,MONTH(C7),DAY(C7))-TODAY()
)</f>
        <v>345</v>
      </c>
      <c r="E7" s="30">
        <v>45056</v>
      </c>
      <c r="F7" s="1" t="s">
        <v>14</v>
      </c>
      <c r="G7" s="33">
        <v>3200000</v>
      </c>
      <c r="H7" s="33">
        <v>800000</v>
      </c>
      <c r="I7" s="1" t="s">
        <v>113</v>
      </c>
    </row>
    <row r="8" spans="1:14" ht="24" customHeight="1" x14ac:dyDescent="0.25">
      <c r="A8" s="1">
        <v>47280</v>
      </c>
      <c r="B8" s="1">
        <v>5051571</v>
      </c>
      <c r="C8" s="6">
        <v>32969</v>
      </c>
      <c r="D8" s="1">
        <f ca="1">IF(
DATE(YEAR(TODAY()),MONTH(C8),DAY(C8))&gt;=TODAY(),
DATE(YEAR(TODAY()),MONTH(C8),DAY(C8))-TODAY(),
DATE(YEAR(TODAY())+1,MONTH(C8),DAY(C8))-TODAY()
)</f>
        <v>348</v>
      </c>
      <c r="E8" s="30">
        <v>43882</v>
      </c>
      <c r="F8" s="1" t="s">
        <v>35</v>
      </c>
      <c r="G8" s="33">
        <v>3000000</v>
      </c>
      <c r="H8" s="33">
        <v>0</v>
      </c>
      <c r="I8" s="1" t="s">
        <v>114</v>
      </c>
    </row>
    <row r="9" spans="1:14" ht="24" customHeight="1" x14ac:dyDescent="0.25">
      <c r="A9" s="1">
        <v>7998</v>
      </c>
      <c r="B9" s="1">
        <v>4333029</v>
      </c>
      <c r="C9" s="6">
        <v>32269</v>
      </c>
      <c r="D9" s="1">
        <f ca="1">IF(
DATE(YEAR(TODAY()),MONTH(C9),DAY(C9))&gt;=TODAY(),
DATE(YEAR(TODAY()),MONTH(C9),DAY(C9))-TODAY(),
DATE(YEAR(TODAY())+1,MONTH(C9),DAY(C9))-TODAY()
)</f>
        <v>13</v>
      </c>
      <c r="E9" s="30">
        <v>44228</v>
      </c>
      <c r="F9" s="1" t="s">
        <v>100</v>
      </c>
      <c r="G9" s="33">
        <v>3200000</v>
      </c>
      <c r="H9" s="33">
        <v>0</v>
      </c>
      <c r="I9" s="1" t="s">
        <v>115</v>
      </c>
    </row>
    <row r="10" spans="1:14" ht="24" customHeight="1" x14ac:dyDescent="0.25">
      <c r="A10" s="1">
        <v>55422</v>
      </c>
      <c r="B10" s="1">
        <v>7310534</v>
      </c>
      <c r="C10" s="1">
        <v>37738</v>
      </c>
      <c r="D10" s="1">
        <v>65</v>
      </c>
      <c r="E10" s="30">
        <v>45873</v>
      </c>
      <c r="F10" s="1" t="s">
        <v>120</v>
      </c>
      <c r="G10" s="33">
        <v>3000000</v>
      </c>
      <c r="H10" s="33">
        <v>0</v>
      </c>
      <c r="I10" s="1" t="s">
        <v>121</v>
      </c>
    </row>
    <row r="11" spans="1:14" ht="24" customHeight="1" x14ac:dyDescent="0.25">
      <c r="A11" s="1">
        <v>40709</v>
      </c>
      <c r="B11" s="1">
        <v>4050348</v>
      </c>
      <c r="C11" s="1">
        <v>33772</v>
      </c>
      <c r="D11" s="1">
        <v>116</v>
      </c>
      <c r="E11" s="30">
        <v>45505</v>
      </c>
      <c r="F11" s="1" t="s">
        <v>205</v>
      </c>
      <c r="G11" s="33">
        <v>3300000</v>
      </c>
      <c r="H11" s="33">
        <v>500000</v>
      </c>
      <c r="I11" s="1" t="s">
        <v>122</v>
      </c>
    </row>
    <row r="12" spans="1:14" ht="24" customHeight="1" x14ac:dyDescent="0.25">
      <c r="A12" s="1">
        <v>54975</v>
      </c>
      <c r="B12" s="1">
        <v>7846705</v>
      </c>
      <c r="C12" s="6">
        <v>37829</v>
      </c>
      <c r="D12" s="1">
        <f ca="1">IF(
DATE(YEAR(TODAY()),MONTH(C12),DAY(C12))&gt;=TODAY(),
DATE(YEAR(TODAY()),MONTH(C12),DAY(C12))-TODAY(),
DATE(YEAR(TODAY())+1,MONTH(C12),DAY(C12))-TODAY()
)</f>
        <v>95</v>
      </c>
      <c r="E12" s="30">
        <v>45474</v>
      </c>
      <c r="F12" s="1" t="s">
        <v>67</v>
      </c>
      <c r="G12" s="33">
        <v>3000000</v>
      </c>
      <c r="H12" s="33">
        <v>200000</v>
      </c>
      <c r="I12" s="1" t="s">
        <v>116</v>
      </c>
    </row>
    <row r="13" spans="1:14" ht="24" customHeight="1" x14ac:dyDescent="0.25">
      <c r="A13" s="1">
        <v>41748</v>
      </c>
      <c r="B13" s="1">
        <v>6259512</v>
      </c>
      <c r="C13" s="6">
        <v>34554</v>
      </c>
      <c r="D13" s="1">
        <f ca="1">IF(
DATE(YEAR(TODAY()),MONTH(C13),DAY(C13))&gt;=TODAY(),
DATE(YEAR(TODAY()),MONTH(C13),DAY(C13))-TODAY(),
DATE(YEAR(TODAY())+1,MONTH(C13),DAY(C13))-TODAY()
)</f>
        <v>107</v>
      </c>
      <c r="E13" s="30">
        <v>43794</v>
      </c>
      <c r="F13" s="1" t="s">
        <v>117</v>
      </c>
      <c r="G13" s="33">
        <v>4500000</v>
      </c>
      <c r="H13" s="33">
        <v>3500000</v>
      </c>
      <c r="I13" s="1" t="s">
        <v>118</v>
      </c>
    </row>
    <row r="14" spans="1:14" ht="24" customHeight="1" x14ac:dyDescent="0.25">
      <c r="A14" s="1">
        <v>20300</v>
      </c>
      <c r="B14" s="1">
        <v>4188780</v>
      </c>
      <c r="C14" s="6">
        <v>31072</v>
      </c>
      <c r="D14" s="1">
        <f ca="1">IF(
DATE(YEAR(TODAY()),MONTH(C14),DAY(C14))&gt;=TODAY(),
DATE(YEAR(TODAY()),MONTH(C14),DAY(C14))-TODAY(),
DATE(YEAR(TODAY())+1,MONTH(C14),DAY(C14))-TODAY()
)</f>
        <v>277</v>
      </c>
      <c r="E14" s="30">
        <v>40624</v>
      </c>
      <c r="F14" s="1" t="s">
        <v>79</v>
      </c>
      <c r="G14" s="33">
        <v>3300000</v>
      </c>
      <c r="H14" s="33">
        <v>300000</v>
      </c>
      <c r="I14" s="1" t="s">
        <v>119</v>
      </c>
    </row>
    <row r="15" spans="1:14" ht="24" customHeight="1" x14ac:dyDescent="0.25">
      <c r="A15" s="1">
        <v>57546</v>
      </c>
      <c r="B15" s="1">
        <v>5320690</v>
      </c>
      <c r="C15" s="6">
        <v>36608</v>
      </c>
      <c r="D15" s="1">
        <f ca="1">IF(
DATE(YEAR(TODAY()),MONTH(C15),DAY(C15))&gt;=TODAY(),
DATE(YEAR(TODAY()),MONTH(C15),DAY(C15))-TODAY(),
DATE(YEAR(TODAY())+1,MONTH(C15),DAY(C15))-TODAY()
)</f>
        <v>334</v>
      </c>
      <c r="E15" s="30">
        <v>46127</v>
      </c>
      <c r="F15" s="1" t="s">
        <v>79</v>
      </c>
      <c r="G15" s="33">
        <v>3200000</v>
      </c>
      <c r="H15" s="33">
        <v>0</v>
      </c>
      <c r="I15" s="1" t="s">
        <v>198</v>
      </c>
    </row>
    <row r="16" spans="1:14" ht="24" customHeight="1" x14ac:dyDescent="0.25">
      <c r="A16" s="1"/>
      <c r="B16" s="1"/>
      <c r="C16" s="1"/>
      <c r="D16" s="1"/>
      <c r="E16" s="30"/>
      <c r="F16" s="1"/>
      <c r="G16" s="1"/>
      <c r="H16" s="1"/>
      <c r="I16" s="1"/>
    </row>
    <row r="17" spans="1:9" ht="24" customHeight="1" x14ac:dyDescent="0.25">
      <c r="A17" s="1"/>
      <c r="B17" s="1"/>
      <c r="C17" s="1"/>
      <c r="D17" s="1"/>
      <c r="E17" s="30"/>
      <c r="F17" s="1"/>
      <c r="G17" s="1"/>
      <c r="H17" s="1"/>
      <c r="I17" s="1"/>
    </row>
    <row r="18" spans="1:9" ht="24" customHeight="1" x14ac:dyDescent="0.25">
      <c r="A18" s="1"/>
      <c r="B18" s="1"/>
      <c r="C18" s="1"/>
      <c r="D18" s="1"/>
      <c r="E18" s="30"/>
      <c r="F18" s="1"/>
      <c r="G18" s="1"/>
      <c r="H18" s="1"/>
      <c r="I18" s="1"/>
    </row>
    <row r="19" spans="1:9" ht="24" customHeight="1" x14ac:dyDescent="0.25">
      <c r="A19" s="1"/>
      <c r="B19" s="1"/>
      <c r="C19" s="1"/>
      <c r="D19" s="1"/>
      <c r="E19" s="30"/>
      <c r="F19" s="1"/>
      <c r="G19" s="1"/>
      <c r="H19" s="1"/>
      <c r="I19" s="1"/>
    </row>
    <row r="20" spans="1:9" ht="24" customHeight="1" x14ac:dyDescent="0.25">
      <c r="A20" s="1"/>
      <c r="B20" s="1"/>
      <c r="C20" s="1"/>
      <c r="D20" s="1"/>
      <c r="E20" s="30"/>
      <c r="F20" s="1"/>
      <c r="G20" s="1"/>
      <c r="H20" s="1"/>
      <c r="I20" s="1"/>
    </row>
    <row r="21" spans="1:9" ht="24" customHeight="1" x14ac:dyDescent="0.25">
      <c r="A21" s="1"/>
      <c r="B21" s="1"/>
      <c r="C21" s="1"/>
      <c r="D21" s="1"/>
      <c r="E21" s="30"/>
      <c r="F21" s="1"/>
      <c r="G21" s="1"/>
      <c r="H21" s="1"/>
      <c r="I21" s="1"/>
    </row>
    <row r="22" spans="1:9" ht="24" customHeight="1" x14ac:dyDescent="0.25">
      <c r="A22" s="1"/>
      <c r="B22" s="1"/>
      <c r="C22" s="1"/>
      <c r="D22" s="1"/>
      <c r="E22" s="30"/>
      <c r="F22" s="1"/>
      <c r="G22" s="1"/>
      <c r="H22" s="1"/>
      <c r="I22" s="1"/>
    </row>
    <row r="23" spans="1:9" ht="24" customHeight="1" x14ac:dyDescent="0.25">
      <c r="A23" s="1"/>
      <c r="B23" s="1"/>
      <c r="C23" s="1"/>
      <c r="D23" s="1"/>
      <c r="E23" s="30"/>
      <c r="F23" s="1"/>
      <c r="G23" s="1"/>
      <c r="H23" s="1"/>
      <c r="I23" s="1"/>
    </row>
    <row r="24" spans="1:9" ht="24" customHeight="1" x14ac:dyDescent="0.25">
      <c r="A24" s="1"/>
      <c r="B24" s="1"/>
      <c r="C24" s="1"/>
      <c r="D24" s="1"/>
      <c r="E24" s="30"/>
      <c r="F24" s="1"/>
      <c r="G24" s="1"/>
      <c r="H24" s="1"/>
      <c r="I24" s="1"/>
    </row>
    <row r="25" spans="1:9" ht="24" customHeight="1" x14ac:dyDescent="0.25">
      <c r="A25" s="1"/>
      <c r="B25" s="1"/>
      <c r="C25" s="1"/>
      <c r="D25" s="1"/>
      <c r="E25" s="30"/>
      <c r="F25" s="1"/>
      <c r="G25" s="1"/>
      <c r="H25" s="1"/>
      <c r="I25" s="1"/>
    </row>
    <row r="26" spans="1:9" ht="24" customHeight="1" x14ac:dyDescent="0.25">
      <c r="A26" s="1"/>
      <c r="B26" s="1"/>
      <c r="C26" s="1"/>
      <c r="D26" s="1"/>
      <c r="E26" s="30"/>
      <c r="F26" s="1"/>
      <c r="G26" s="1"/>
      <c r="H26" s="1"/>
      <c r="I26" s="1"/>
    </row>
    <row r="27" spans="1:9" ht="24" customHeight="1" x14ac:dyDescent="0.25">
      <c r="A27" s="1"/>
      <c r="B27" s="1"/>
      <c r="C27" s="1"/>
      <c r="D27" s="1"/>
      <c r="E27" s="30"/>
      <c r="F27" s="1"/>
      <c r="G27" s="1"/>
      <c r="H27" s="1"/>
      <c r="I27" s="1"/>
    </row>
    <row r="28" spans="1:9" ht="24" customHeight="1" x14ac:dyDescent="0.25">
      <c r="A28" s="1"/>
      <c r="B28" s="1"/>
      <c r="C28" s="1"/>
      <c r="D28" s="1"/>
      <c r="E28" s="30"/>
      <c r="F28" s="1"/>
      <c r="G28" s="1"/>
      <c r="H28" s="1"/>
      <c r="I28" s="1"/>
    </row>
    <row r="29" spans="1:9" ht="24" customHeight="1" x14ac:dyDescent="0.25">
      <c r="A29" s="1"/>
      <c r="B29" s="1"/>
      <c r="C29" s="1"/>
      <c r="D29" s="1"/>
      <c r="E29" s="30"/>
      <c r="F29" s="1"/>
      <c r="G29" s="1"/>
      <c r="H29" s="1"/>
      <c r="I29" s="1"/>
    </row>
    <row r="30" spans="1:9" ht="24" customHeight="1" x14ac:dyDescent="0.25">
      <c r="A30" s="1"/>
      <c r="B30" s="1"/>
      <c r="C30" s="1"/>
      <c r="D30" s="1"/>
      <c r="E30" s="30"/>
      <c r="F30" s="1"/>
      <c r="G30" s="1"/>
      <c r="H30" s="1"/>
      <c r="I30" s="1"/>
    </row>
    <row r="31" spans="1:9" ht="24" customHeight="1" x14ac:dyDescent="0.25">
      <c r="A31" s="1"/>
      <c r="B31" s="1"/>
      <c r="C31" s="1"/>
      <c r="D31" s="1"/>
      <c r="E31" s="30"/>
      <c r="F31" s="1"/>
      <c r="G31" s="1"/>
      <c r="H31" s="1"/>
      <c r="I31" s="1"/>
    </row>
    <row r="32" spans="1:9" ht="24" customHeight="1" x14ac:dyDescent="0.25">
      <c r="A32" s="1"/>
      <c r="B32" s="1"/>
      <c r="C32" s="1"/>
      <c r="D32" s="1"/>
      <c r="E32" s="30"/>
      <c r="F32" s="1"/>
      <c r="G32" s="1"/>
      <c r="H32" s="1"/>
      <c r="I32" s="1"/>
    </row>
    <row r="33" spans="1:9" ht="24" customHeight="1" x14ac:dyDescent="0.25">
      <c r="A33" s="1"/>
      <c r="B33" s="1"/>
      <c r="C33" s="1"/>
      <c r="D33" s="1"/>
      <c r="E33" s="30"/>
      <c r="F33" s="1"/>
      <c r="G33" s="1"/>
      <c r="H33" s="1"/>
      <c r="I33" s="1"/>
    </row>
    <row r="34" spans="1:9" ht="24" customHeight="1" x14ac:dyDescent="0.25">
      <c r="A34" s="1"/>
      <c r="B34" s="1"/>
      <c r="C34" s="1"/>
      <c r="D34" s="1"/>
      <c r="E34" s="30"/>
      <c r="F34" s="1"/>
      <c r="G34" s="1"/>
      <c r="H34" s="1"/>
      <c r="I34" s="1"/>
    </row>
    <row r="35" spans="1:9" ht="24" customHeight="1" x14ac:dyDescent="0.25">
      <c r="A35" s="1"/>
      <c r="B35" s="1"/>
      <c r="C35" s="1"/>
      <c r="D35" s="1"/>
      <c r="E35" s="30"/>
      <c r="F35" s="1"/>
      <c r="G35" s="1"/>
      <c r="H35" s="1"/>
      <c r="I35" s="1"/>
    </row>
    <row r="36" spans="1:9" ht="24" customHeight="1" x14ac:dyDescent="0.25">
      <c r="A36" s="1"/>
      <c r="B36" s="1"/>
      <c r="C36" s="1"/>
      <c r="D36" s="1"/>
      <c r="E36" s="30"/>
      <c r="F36" s="1"/>
      <c r="G36" s="1"/>
      <c r="H36" s="1"/>
      <c r="I36" s="1"/>
    </row>
    <row r="37" spans="1:9" ht="24" customHeight="1" x14ac:dyDescent="0.25">
      <c r="A37" s="1"/>
      <c r="B37" s="1"/>
      <c r="C37" s="1"/>
      <c r="D37" s="1"/>
      <c r="E37" s="30"/>
      <c r="F37" s="1"/>
      <c r="G37" s="1"/>
      <c r="H37" s="1"/>
      <c r="I37" s="1"/>
    </row>
    <row r="38" spans="1:9" ht="24" customHeight="1" x14ac:dyDescent="0.25">
      <c r="A38" s="1"/>
      <c r="B38" s="1"/>
      <c r="C38" s="1"/>
      <c r="D38" s="1"/>
      <c r="E38" s="30"/>
      <c r="F38" s="1"/>
      <c r="G38" s="1"/>
      <c r="H38" s="1"/>
      <c r="I38" s="1"/>
    </row>
    <row r="39" spans="1:9" ht="24" customHeight="1" x14ac:dyDescent="0.25">
      <c r="A39" s="1"/>
      <c r="B39" s="1"/>
      <c r="C39" s="1"/>
      <c r="D39" s="1"/>
      <c r="E39" s="30"/>
      <c r="F39" s="1"/>
      <c r="G39" s="1"/>
      <c r="H39" s="1"/>
      <c r="I39" s="1"/>
    </row>
    <row r="40" spans="1:9" ht="24" customHeight="1" x14ac:dyDescent="0.25">
      <c r="A40" s="1"/>
      <c r="B40" s="1"/>
      <c r="C40" s="1"/>
      <c r="D40" s="1"/>
      <c r="E40" s="30"/>
      <c r="F40" s="1"/>
      <c r="G40" s="1"/>
      <c r="H40" s="1"/>
      <c r="I40" s="1"/>
    </row>
    <row r="41" spans="1:9" ht="24" customHeight="1" x14ac:dyDescent="0.25">
      <c r="A41" s="1"/>
      <c r="B41" s="1"/>
      <c r="C41" s="1"/>
      <c r="D41" s="1"/>
      <c r="E41" s="30"/>
      <c r="F41" s="1"/>
      <c r="G41" s="1"/>
      <c r="H41" s="1"/>
      <c r="I41" s="1"/>
    </row>
    <row r="42" spans="1:9" ht="24" customHeight="1" x14ac:dyDescent="0.25">
      <c r="A42" s="1"/>
      <c r="B42" s="1"/>
      <c r="C42" s="1"/>
      <c r="D42" s="1"/>
      <c r="E42" s="30"/>
      <c r="F42" s="1"/>
      <c r="G42" s="1"/>
      <c r="H42" s="1"/>
      <c r="I42" s="1"/>
    </row>
    <row r="43" spans="1:9" ht="24" customHeight="1" x14ac:dyDescent="0.25">
      <c r="A43" s="1"/>
      <c r="B43" s="1"/>
      <c r="C43" s="1"/>
      <c r="D43" s="1"/>
      <c r="E43" s="30"/>
      <c r="F43" s="1"/>
      <c r="G43" s="1"/>
      <c r="H43" s="1"/>
      <c r="I43" s="1"/>
    </row>
    <row r="44" spans="1:9" ht="24" customHeight="1" x14ac:dyDescent="0.25">
      <c r="A44" s="1"/>
      <c r="B44" s="1"/>
      <c r="C44" s="1"/>
      <c r="D44" s="1"/>
      <c r="E44" s="30"/>
      <c r="F44" s="1"/>
      <c r="G44" s="1"/>
      <c r="H44" s="1"/>
      <c r="I44" s="1"/>
    </row>
    <row r="45" spans="1:9" ht="24" customHeight="1" x14ac:dyDescent="0.25">
      <c r="A45" s="1"/>
      <c r="B45" s="1"/>
      <c r="C45" s="1"/>
      <c r="D45" s="1"/>
      <c r="E45" s="30"/>
      <c r="F45" s="1"/>
      <c r="G45" s="1"/>
      <c r="H45" s="1"/>
      <c r="I45" s="1"/>
    </row>
    <row r="46" spans="1:9" ht="24" customHeight="1" x14ac:dyDescent="0.25">
      <c r="A46" s="1"/>
      <c r="B46" s="1"/>
      <c r="C46" s="1"/>
      <c r="D46" s="1"/>
      <c r="E46" s="30"/>
      <c r="F46" s="1"/>
      <c r="G46" s="1"/>
      <c r="H46" s="1"/>
      <c r="I46" s="1"/>
    </row>
    <row r="47" spans="1:9" ht="24" customHeight="1" x14ac:dyDescent="0.25">
      <c r="A47" s="1"/>
      <c r="B47" s="1"/>
      <c r="C47" s="1"/>
      <c r="D47" s="1"/>
      <c r="E47" s="30"/>
      <c r="F47" s="1"/>
      <c r="G47" s="1"/>
      <c r="H47" s="1"/>
      <c r="I47" s="1"/>
    </row>
    <row r="48" spans="1:9" ht="24" customHeight="1" x14ac:dyDescent="0.25">
      <c r="A48" s="1"/>
      <c r="B48" s="1"/>
      <c r="C48" s="1"/>
      <c r="D48" s="1"/>
      <c r="E48" s="30"/>
      <c r="F48" s="1"/>
      <c r="G48" s="1"/>
      <c r="H48" s="1"/>
      <c r="I48" s="1"/>
    </row>
    <row r="49" spans="1:9" ht="24" customHeight="1" x14ac:dyDescent="0.25">
      <c r="A49" s="1"/>
      <c r="B49" s="1"/>
      <c r="C49" s="1"/>
      <c r="D49" s="1"/>
      <c r="E49" s="30"/>
      <c r="F49" s="1"/>
      <c r="G49" s="1"/>
      <c r="H49" s="1"/>
      <c r="I49" s="1"/>
    </row>
    <row r="50" spans="1:9" ht="24" customHeight="1" x14ac:dyDescent="0.25">
      <c r="A50" s="1"/>
      <c r="B50" s="1"/>
      <c r="C50" s="1"/>
      <c r="D50" s="1"/>
      <c r="E50" s="30"/>
      <c r="F50" s="1"/>
      <c r="G50" s="1"/>
      <c r="H50" s="1"/>
      <c r="I50" s="1"/>
    </row>
    <row r="51" spans="1:9" ht="24" customHeight="1" x14ac:dyDescent="0.25">
      <c r="A51" s="1"/>
      <c r="B51" s="1"/>
      <c r="C51" s="1"/>
      <c r="D51" s="1"/>
      <c r="E51" s="30"/>
      <c r="F51" s="1"/>
      <c r="G51" s="1"/>
      <c r="H51" s="1"/>
      <c r="I51" s="1"/>
    </row>
    <row r="52" spans="1:9" ht="24" customHeight="1" x14ac:dyDescent="0.25">
      <c r="A52" s="1"/>
      <c r="B52" s="1"/>
      <c r="C52" s="1"/>
      <c r="D52" s="1"/>
      <c r="E52" s="30"/>
      <c r="F52" s="1"/>
      <c r="G52" s="1"/>
      <c r="H52" s="1"/>
      <c r="I52" s="1"/>
    </row>
    <row r="53" spans="1:9" ht="24" customHeight="1" x14ac:dyDescent="0.25">
      <c r="A53" s="1"/>
      <c r="B53" s="1"/>
      <c r="C53" s="1"/>
      <c r="D53" s="1"/>
      <c r="E53" s="30"/>
      <c r="F53" s="1"/>
      <c r="G53" s="1"/>
      <c r="H53" s="1"/>
      <c r="I53" s="1"/>
    </row>
    <row r="54" spans="1:9" ht="24" customHeight="1" x14ac:dyDescent="0.25">
      <c r="A54" s="1"/>
      <c r="B54" s="1"/>
      <c r="C54" s="1"/>
      <c r="D54" s="1"/>
      <c r="E54" s="30"/>
      <c r="F54" s="1"/>
      <c r="G54" s="1"/>
      <c r="H54" s="1"/>
      <c r="I54" s="1"/>
    </row>
    <row r="55" spans="1:9" ht="24" customHeight="1" x14ac:dyDescent="0.25">
      <c r="A55" s="1"/>
      <c r="B55" s="1"/>
      <c r="C55" s="1"/>
      <c r="D55" s="1"/>
      <c r="E55" s="30"/>
      <c r="F55" s="1"/>
      <c r="G55" s="1"/>
      <c r="H55" s="1"/>
      <c r="I55" s="1"/>
    </row>
    <row r="56" spans="1:9" ht="24" customHeight="1" x14ac:dyDescent="0.25">
      <c r="A56" s="1"/>
      <c r="B56" s="1"/>
      <c r="C56" s="1"/>
      <c r="D56" s="1"/>
      <c r="E56" s="30"/>
      <c r="F56" s="1"/>
      <c r="G56" s="1"/>
      <c r="H56" s="1"/>
      <c r="I56" s="1"/>
    </row>
    <row r="57" spans="1:9" ht="24" customHeight="1" x14ac:dyDescent="0.25">
      <c r="A57" s="1"/>
      <c r="B57" s="1"/>
      <c r="C57" s="1"/>
      <c r="D57" s="1"/>
      <c r="E57" s="30"/>
      <c r="F57" s="1"/>
      <c r="G57" s="1"/>
      <c r="H57" s="1"/>
      <c r="I57" s="1"/>
    </row>
    <row r="58" spans="1:9" ht="24" customHeight="1" x14ac:dyDescent="0.25">
      <c r="A58" s="1"/>
      <c r="B58" s="1"/>
      <c r="C58" s="1"/>
      <c r="D58" s="1"/>
      <c r="E58" s="30"/>
      <c r="F58" s="1"/>
      <c r="G58" s="1"/>
      <c r="H58" s="1"/>
      <c r="I58" s="1"/>
    </row>
    <row r="59" spans="1:9" ht="24" customHeight="1" x14ac:dyDescent="0.25">
      <c r="A59" s="1"/>
      <c r="B59" s="1"/>
      <c r="C59" s="1"/>
      <c r="D59" s="1"/>
      <c r="E59" s="30"/>
      <c r="F59" s="1"/>
      <c r="G59" s="1"/>
      <c r="H59" s="1"/>
      <c r="I59" s="1"/>
    </row>
  </sheetData>
  <mergeCells count="2">
    <mergeCell ref="A1:I2"/>
    <mergeCell ref="A3:I3"/>
  </mergeCells>
  <pageMargins left="0.7" right="0.7" top="0.75" bottom="0.75" header="0.3" footer="0.3"/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3" tint="0.89996032593768116"/>
  </sheetPr>
  <dimension ref="A1:K63"/>
  <sheetViews>
    <sheetView zoomScale="70" zoomScaleNormal="70" workbookViewId="0">
      <selection activeCell="I14" sqref="I14"/>
    </sheetView>
  </sheetViews>
  <sheetFormatPr baseColWidth="10" defaultColWidth="11.42578125" defaultRowHeight="15" x14ac:dyDescent="0.25"/>
  <cols>
    <col min="1" max="1" width="25.140625" customWidth="1"/>
    <col min="2" max="2" width="13.28515625" customWidth="1"/>
    <col min="3" max="4" width="59.140625" customWidth="1"/>
    <col min="5" max="5" width="48.28515625" bestFit="1" customWidth="1"/>
    <col min="6" max="6" width="33.5703125" customWidth="1"/>
    <col min="7" max="7" width="21.42578125" bestFit="1" customWidth="1"/>
    <col min="8" max="8" width="18.140625" bestFit="1" customWidth="1"/>
    <col min="9" max="9" width="50.5703125" customWidth="1"/>
    <col min="10" max="11" width="11.42578125" style="18" customWidth="1"/>
    <col min="12" max="16384" width="11.42578125" style="18"/>
  </cols>
  <sheetData>
    <row r="1" spans="1:11" ht="71.25" customHeight="1" x14ac:dyDescent="0.25">
      <c r="A1" s="47" t="s">
        <v>0</v>
      </c>
      <c r="B1" s="44"/>
      <c r="C1" s="44"/>
      <c r="D1" s="44"/>
      <c r="E1" s="44"/>
      <c r="F1" s="44"/>
      <c r="G1" s="18"/>
      <c r="H1" s="18"/>
      <c r="I1" s="18"/>
    </row>
    <row r="2" spans="1:11" ht="78.75" customHeight="1" x14ac:dyDescent="0.25">
      <c r="A2" s="44"/>
      <c r="B2" s="44"/>
      <c r="C2" s="44"/>
      <c r="D2" s="44"/>
      <c r="E2" s="44"/>
      <c r="F2" s="44"/>
      <c r="G2" s="18"/>
      <c r="H2" s="9"/>
      <c r="I2" s="18"/>
    </row>
    <row r="3" spans="1:11" ht="27" customHeight="1" x14ac:dyDescent="0.25">
      <c r="A3" s="44"/>
      <c r="B3" s="44"/>
      <c r="C3" s="44"/>
      <c r="D3" s="44"/>
      <c r="E3" s="44"/>
      <c r="F3" s="44"/>
      <c r="G3" s="25"/>
      <c r="H3" s="25"/>
      <c r="I3" s="25"/>
      <c r="J3" s="25"/>
      <c r="K3" s="25"/>
    </row>
    <row r="4" spans="1:11" ht="27" customHeight="1" x14ac:dyDescent="0.25">
      <c r="A4" s="48" t="s">
        <v>141</v>
      </c>
      <c r="B4" s="44"/>
      <c r="C4" s="44"/>
      <c r="D4" s="44"/>
      <c r="E4" s="44"/>
      <c r="F4" s="44"/>
      <c r="G4" s="25"/>
      <c r="H4" s="25"/>
      <c r="I4" s="25"/>
      <c r="J4" s="25"/>
      <c r="K4" s="25"/>
    </row>
    <row r="5" spans="1:11" ht="28.5" customHeight="1" x14ac:dyDescent="0.45">
      <c r="A5" s="10"/>
      <c r="B5" s="10"/>
      <c r="C5" s="48" t="s">
        <v>2</v>
      </c>
      <c r="D5" s="44"/>
      <c r="E5" s="17">
        <f ca="1">NOW()</f>
        <v>46135.478733912038</v>
      </c>
      <c r="F5" s="17"/>
      <c r="G5" s="15"/>
      <c r="H5" s="18"/>
      <c r="I5" s="18"/>
      <c r="J5" s="15"/>
      <c r="K5" s="2"/>
    </row>
    <row r="6" spans="1:11" ht="24" customHeight="1" x14ac:dyDescent="0.25">
      <c r="A6" s="1" t="s">
        <v>3</v>
      </c>
      <c r="B6" s="1" t="s">
        <v>4</v>
      </c>
      <c r="C6" s="1" t="s">
        <v>5</v>
      </c>
      <c r="D6" s="1" t="s">
        <v>6</v>
      </c>
      <c r="E6" s="1" t="s">
        <v>7</v>
      </c>
      <c r="F6" s="1" t="s">
        <v>8</v>
      </c>
      <c r="G6" s="1" t="s">
        <v>9</v>
      </c>
      <c r="H6" s="1" t="s">
        <v>10</v>
      </c>
      <c r="I6" s="1" t="s">
        <v>142</v>
      </c>
    </row>
    <row r="7" spans="1:11" ht="24" customHeight="1" x14ac:dyDescent="0.25">
      <c r="A7" s="1">
        <v>49746</v>
      </c>
      <c r="B7" s="1">
        <v>6207067</v>
      </c>
      <c r="C7" s="6">
        <v>36318</v>
      </c>
      <c r="D7" s="1">
        <f t="shared" ref="D7:D13" ca="1" si="0">IF(
DATE(YEAR(TODAY()),MONTH(C7),DAY(C7))&gt;=TODAY(),
DATE(YEAR(TODAY()),MONTH(C7),DAY(C7))-TODAY(),
DATE(YEAR(TODAY())+1,MONTH(C7),DAY(C7))-TODAY()
)</f>
        <v>45</v>
      </c>
      <c r="E7" s="30">
        <v>45323</v>
      </c>
      <c r="F7" s="1" t="s">
        <v>100</v>
      </c>
      <c r="G7" s="33">
        <v>3000000</v>
      </c>
      <c r="H7" s="33">
        <v>0</v>
      </c>
      <c r="I7" s="1" t="s">
        <v>145</v>
      </c>
    </row>
    <row r="8" spans="1:11" ht="24" customHeight="1" x14ac:dyDescent="0.25">
      <c r="A8" s="1">
        <v>19376</v>
      </c>
      <c r="B8" s="1">
        <v>1185616</v>
      </c>
      <c r="C8" s="6">
        <v>21711</v>
      </c>
      <c r="D8" s="1">
        <f t="shared" ca="1" si="0"/>
        <v>48</v>
      </c>
      <c r="E8" s="30">
        <v>44594</v>
      </c>
      <c r="F8" s="1" t="s">
        <v>146</v>
      </c>
      <c r="G8" s="33">
        <v>3000000</v>
      </c>
      <c r="H8" s="33">
        <v>0</v>
      </c>
      <c r="I8" s="1" t="s">
        <v>147</v>
      </c>
    </row>
    <row r="9" spans="1:11" ht="24" customHeight="1" x14ac:dyDescent="0.25">
      <c r="A9" s="1">
        <v>34555</v>
      </c>
      <c r="B9" s="1">
        <v>4221449</v>
      </c>
      <c r="C9" s="6">
        <v>31305</v>
      </c>
      <c r="D9" s="1">
        <f t="shared" ca="1" si="0"/>
        <v>145</v>
      </c>
      <c r="E9" s="30">
        <v>42339</v>
      </c>
      <c r="F9" s="1" t="s">
        <v>14</v>
      </c>
      <c r="G9" s="33">
        <v>3500000</v>
      </c>
      <c r="H9" s="33">
        <v>100000</v>
      </c>
      <c r="I9" s="1" t="s">
        <v>148</v>
      </c>
    </row>
    <row r="10" spans="1:11" ht="24" customHeight="1" x14ac:dyDescent="0.25">
      <c r="A10" s="1">
        <v>9490</v>
      </c>
      <c r="B10" s="1">
        <v>2037545</v>
      </c>
      <c r="C10" s="6">
        <v>27666</v>
      </c>
      <c r="D10" s="1">
        <f t="shared" ca="1" si="0"/>
        <v>159</v>
      </c>
      <c r="E10" s="30">
        <v>39419</v>
      </c>
      <c r="F10" s="1" t="s">
        <v>135</v>
      </c>
      <c r="G10" s="33">
        <v>6000000</v>
      </c>
      <c r="H10" s="33">
        <v>500000</v>
      </c>
      <c r="I10" s="1" t="s">
        <v>149</v>
      </c>
    </row>
    <row r="11" spans="1:11" ht="24" customHeight="1" x14ac:dyDescent="0.25">
      <c r="A11" s="1">
        <v>15430</v>
      </c>
      <c r="B11" s="1">
        <v>4917978</v>
      </c>
      <c r="C11" s="6">
        <v>33880</v>
      </c>
      <c r="D11" s="1">
        <f t="shared" ca="1" si="0"/>
        <v>163</v>
      </c>
      <c r="E11" s="30">
        <v>40989</v>
      </c>
      <c r="F11" s="1" t="s">
        <v>28</v>
      </c>
      <c r="G11" s="33">
        <v>3500000</v>
      </c>
      <c r="H11" s="33">
        <v>0</v>
      </c>
      <c r="I11" s="1" t="s">
        <v>150</v>
      </c>
    </row>
    <row r="12" spans="1:11" ht="24" customHeight="1" x14ac:dyDescent="0.25">
      <c r="A12" s="1">
        <v>41804</v>
      </c>
      <c r="B12" s="1">
        <v>7000592</v>
      </c>
      <c r="C12" s="6">
        <v>36111</v>
      </c>
      <c r="D12" s="1">
        <f t="shared" ca="1" si="0"/>
        <v>203</v>
      </c>
      <c r="E12" s="30">
        <v>43132</v>
      </c>
      <c r="F12" s="1" t="s">
        <v>14</v>
      </c>
      <c r="G12" s="33">
        <v>3300000</v>
      </c>
      <c r="H12" s="33">
        <v>300000</v>
      </c>
      <c r="I12" s="1" t="s">
        <v>151</v>
      </c>
    </row>
    <row r="13" spans="1:11" ht="24" customHeight="1" x14ac:dyDescent="0.25">
      <c r="A13" s="1">
        <v>56310</v>
      </c>
      <c r="B13" s="1">
        <v>4554270</v>
      </c>
      <c r="C13" s="6">
        <v>35429</v>
      </c>
      <c r="D13" s="1">
        <f t="shared" ca="1" si="0"/>
        <v>251</v>
      </c>
      <c r="E13" s="30">
        <v>45810</v>
      </c>
      <c r="F13" s="1" t="s">
        <v>67</v>
      </c>
      <c r="G13" s="33">
        <v>3000000</v>
      </c>
      <c r="H13" s="33"/>
      <c r="I13" s="1" t="s">
        <v>152</v>
      </c>
    </row>
    <row r="14" spans="1:11" ht="24" customHeight="1" x14ac:dyDescent="0.25">
      <c r="A14" s="1">
        <v>24237</v>
      </c>
      <c r="B14" s="1">
        <v>5369612</v>
      </c>
      <c r="C14" s="6">
        <v>32571</v>
      </c>
      <c r="D14" s="1">
        <f ca="1">IF(
  DATE(YEAR(TODAY()),MONTH(C14),DAY(C14))&gt;=TODAY(),
  DATE(YEAR(TODAY()),MONTH(C14),DAY(C14))-TODAY(),
  DATE(YEAR(TODAY())+1,MONTH(C14),DAY(C14))-TODAY()
)</f>
        <v>315</v>
      </c>
      <c r="E14" s="30">
        <v>44210</v>
      </c>
      <c r="F14" s="1" t="s">
        <v>14</v>
      </c>
      <c r="G14" s="33">
        <v>3300000</v>
      </c>
      <c r="H14" s="33">
        <v>300000</v>
      </c>
      <c r="I14" s="1" t="s">
        <v>143</v>
      </c>
    </row>
    <row r="15" spans="1:11" ht="24" customHeight="1" x14ac:dyDescent="0.25">
      <c r="A15" s="1">
        <v>52295</v>
      </c>
      <c r="B15" s="1">
        <v>5416829</v>
      </c>
      <c r="C15" s="6">
        <v>35861</v>
      </c>
      <c r="D15" s="1">
        <f ca="1">IF(
DATE(YEAR(TODAY()),MONTH(C15),DAY(C15))&gt;=TODAY(),
DATE(YEAR(TODAY()),MONTH(C15),DAY(C15))-TODAY(),
DATE(YEAR(TODAY())+1,MONTH(C15),DAY(C15))-TODAY()
)</f>
        <v>318</v>
      </c>
      <c r="E15" s="30">
        <v>44943</v>
      </c>
      <c r="F15" s="1" t="s">
        <v>67</v>
      </c>
      <c r="G15" s="33">
        <v>3000000</v>
      </c>
      <c r="H15" s="33">
        <v>200000</v>
      </c>
      <c r="I15" s="1" t="s">
        <v>144</v>
      </c>
    </row>
    <row r="16" spans="1:11" ht="24" customHeight="1" x14ac:dyDescent="0.25">
      <c r="A16" s="1"/>
      <c r="B16" s="1"/>
      <c r="C16" s="1"/>
      <c r="D16" s="1"/>
      <c r="E16" s="30"/>
      <c r="F16" s="1"/>
      <c r="G16" s="1"/>
      <c r="H16" s="1"/>
      <c r="I16" s="1"/>
    </row>
    <row r="17" spans="1:9" ht="24" customHeight="1" x14ac:dyDescent="0.25">
      <c r="A17" s="1"/>
      <c r="B17" s="1"/>
      <c r="C17" s="1"/>
      <c r="D17" s="1"/>
      <c r="E17" s="30"/>
      <c r="F17" s="1"/>
      <c r="G17" s="1"/>
      <c r="H17" s="1"/>
      <c r="I17" s="1"/>
    </row>
    <row r="18" spans="1:9" ht="24" customHeight="1" x14ac:dyDescent="0.25">
      <c r="A18" s="1"/>
      <c r="B18" s="1"/>
      <c r="C18" s="1"/>
      <c r="D18" s="1"/>
      <c r="E18" s="30"/>
      <c r="F18" s="1"/>
      <c r="G18" s="1"/>
      <c r="H18" s="1"/>
      <c r="I18" s="1"/>
    </row>
    <row r="19" spans="1:9" ht="24" customHeight="1" x14ac:dyDescent="0.25">
      <c r="A19" s="1"/>
      <c r="B19" s="1"/>
      <c r="C19" s="1"/>
      <c r="D19" s="1"/>
      <c r="E19" s="30"/>
      <c r="F19" s="1"/>
      <c r="G19" s="1"/>
      <c r="H19" s="1"/>
      <c r="I19" s="1"/>
    </row>
    <row r="20" spans="1:9" ht="24" customHeight="1" x14ac:dyDescent="0.25">
      <c r="A20" s="1"/>
      <c r="B20" s="1"/>
      <c r="C20" s="1"/>
      <c r="D20" s="1"/>
      <c r="E20" s="30"/>
      <c r="F20" s="1"/>
      <c r="G20" s="1"/>
      <c r="H20" s="1"/>
      <c r="I20" s="1"/>
    </row>
    <row r="21" spans="1:9" ht="24" customHeight="1" x14ac:dyDescent="0.25">
      <c r="A21" s="1"/>
      <c r="B21" s="1"/>
      <c r="C21" s="1"/>
      <c r="D21" s="1"/>
      <c r="E21" s="30"/>
      <c r="F21" s="1"/>
      <c r="G21" s="1"/>
      <c r="H21" s="1"/>
      <c r="I21" s="1"/>
    </row>
    <row r="22" spans="1:9" ht="24" customHeight="1" x14ac:dyDescent="0.25">
      <c r="A22" s="1"/>
      <c r="B22" s="1"/>
      <c r="C22" s="1"/>
      <c r="D22" s="1"/>
      <c r="E22" s="30"/>
      <c r="F22" s="1"/>
      <c r="G22" s="1"/>
      <c r="H22" s="1"/>
      <c r="I22" s="1"/>
    </row>
    <row r="23" spans="1:9" ht="24" customHeight="1" x14ac:dyDescent="0.25">
      <c r="A23" s="1"/>
      <c r="B23" s="1"/>
      <c r="C23" s="1"/>
      <c r="D23" s="1"/>
      <c r="E23" s="30"/>
      <c r="F23" s="1"/>
      <c r="G23" s="1"/>
      <c r="H23" s="1"/>
      <c r="I23" s="1"/>
    </row>
    <row r="24" spans="1:9" ht="24" customHeight="1" x14ac:dyDescent="0.25">
      <c r="A24" s="1"/>
      <c r="B24" s="1"/>
      <c r="C24" s="1"/>
      <c r="D24" s="1"/>
      <c r="E24" s="30"/>
      <c r="F24" s="1"/>
      <c r="G24" s="1"/>
      <c r="H24" s="1"/>
      <c r="I24" s="1"/>
    </row>
    <row r="25" spans="1:9" ht="24" customHeight="1" x14ac:dyDescent="0.25">
      <c r="A25" s="1"/>
      <c r="B25" s="1"/>
      <c r="C25" s="1"/>
      <c r="D25" s="1"/>
      <c r="E25" s="30"/>
      <c r="F25" s="1"/>
      <c r="G25" s="1"/>
      <c r="H25" s="1"/>
      <c r="I25" s="1"/>
    </row>
    <row r="26" spans="1:9" ht="24" customHeight="1" x14ac:dyDescent="0.25">
      <c r="A26" s="1"/>
      <c r="B26" s="1"/>
      <c r="C26" s="1"/>
      <c r="D26" s="1"/>
      <c r="E26" s="30"/>
      <c r="F26" s="1"/>
      <c r="G26" s="1"/>
      <c r="H26" s="1"/>
      <c r="I26" s="1"/>
    </row>
    <row r="27" spans="1:9" ht="24" customHeight="1" x14ac:dyDescent="0.25">
      <c r="A27" s="1"/>
      <c r="B27" s="1"/>
      <c r="C27" s="1"/>
      <c r="D27" s="1"/>
      <c r="E27" s="30"/>
      <c r="F27" s="1"/>
      <c r="G27" s="1"/>
      <c r="H27" s="1"/>
      <c r="I27" s="1"/>
    </row>
    <row r="28" spans="1:9" ht="24" customHeight="1" x14ac:dyDescent="0.25">
      <c r="A28" s="1"/>
      <c r="B28" s="1"/>
      <c r="C28" s="1"/>
      <c r="D28" s="1"/>
      <c r="E28" s="30"/>
      <c r="F28" s="1"/>
      <c r="G28" s="1"/>
      <c r="H28" s="1"/>
      <c r="I28" s="1"/>
    </row>
    <row r="29" spans="1:9" ht="24" customHeight="1" x14ac:dyDescent="0.25">
      <c r="A29" s="1"/>
      <c r="B29" s="1"/>
      <c r="C29" s="1"/>
      <c r="D29" s="1"/>
      <c r="E29" s="30"/>
      <c r="F29" s="1"/>
      <c r="G29" s="1"/>
      <c r="H29" s="1"/>
      <c r="I29" s="1"/>
    </row>
    <row r="30" spans="1:9" ht="24" customHeight="1" x14ac:dyDescent="0.25">
      <c r="A30" s="1"/>
      <c r="B30" s="1"/>
      <c r="C30" s="1"/>
      <c r="D30" s="1"/>
      <c r="E30" s="30"/>
      <c r="F30" s="1"/>
      <c r="G30" s="1"/>
      <c r="H30" s="1"/>
      <c r="I30" s="1"/>
    </row>
    <row r="31" spans="1:9" ht="24" customHeight="1" x14ac:dyDescent="0.25">
      <c r="A31" s="1"/>
      <c r="B31" s="1"/>
      <c r="C31" s="1"/>
      <c r="D31" s="1"/>
      <c r="E31" s="30"/>
      <c r="F31" s="1"/>
      <c r="G31" s="1"/>
      <c r="H31" s="1"/>
      <c r="I31" s="1"/>
    </row>
    <row r="32" spans="1:9" ht="24" customHeight="1" x14ac:dyDescent="0.25">
      <c r="A32" s="1"/>
      <c r="B32" s="1"/>
      <c r="C32" s="1"/>
      <c r="D32" s="1"/>
      <c r="E32" s="30"/>
      <c r="F32" s="1"/>
      <c r="G32" s="1"/>
      <c r="H32" s="1"/>
      <c r="I32" s="1"/>
    </row>
    <row r="33" spans="1:9" ht="24" customHeight="1" x14ac:dyDescent="0.25">
      <c r="A33" s="1"/>
      <c r="B33" s="1"/>
      <c r="C33" s="1"/>
      <c r="D33" s="1"/>
      <c r="E33" s="30"/>
      <c r="F33" s="1"/>
      <c r="G33" s="1"/>
      <c r="H33" s="1"/>
      <c r="I33" s="1"/>
    </row>
    <row r="34" spans="1:9" ht="24" customHeight="1" x14ac:dyDescent="0.25">
      <c r="A34" s="1"/>
      <c r="B34" s="1"/>
      <c r="C34" s="1"/>
      <c r="D34" s="1"/>
      <c r="E34" s="30"/>
      <c r="F34" s="1"/>
      <c r="G34" s="1"/>
      <c r="H34" s="1"/>
      <c r="I34" s="1"/>
    </row>
    <row r="35" spans="1:9" ht="24" customHeight="1" x14ac:dyDescent="0.25">
      <c r="A35" s="1"/>
      <c r="B35" s="1"/>
      <c r="C35" s="1"/>
      <c r="D35" s="1"/>
      <c r="E35" s="30"/>
      <c r="F35" s="1"/>
      <c r="G35" s="1"/>
      <c r="H35" s="1"/>
      <c r="I35" s="1"/>
    </row>
    <row r="36" spans="1:9" ht="24" customHeight="1" x14ac:dyDescent="0.25">
      <c r="A36" s="1"/>
      <c r="B36" s="1"/>
      <c r="C36" s="1"/>
      <c r="D36" s="1"/>
      <c r="E36" s="30"/>
      <c r="F36" s="1"/>
      <c r="G36" s="1"/>
      <c r="H36" s="1"/>
      <c r="I36" s="1"/>
    </row>
    <row r="37" spans="1:9" ht="24" customHeight="1" x14ac:dyDescent="0.25">
      <c r="A37" s="1"/>
      <c r="B37" s="1"/>
      <c r="C37" s="1"/>
      <c r="D37" s="1"/>
      <c r="E37" s="30"/>
      <c r="F37" s="1"/>
      <c r="G37" s="1"/>
      <c r="H37" s="1"/>
      <c r="I37" s="1"/>
    </row>
    <row r="38" spans="1:9" ht="24" customHeight="1" x14ac:dyDescent="0.25">
      <c r="A38" s="1"/>
      <c r="B38" s="1"/>
      <c r="C38" s="1"/>
      <c r="D38" s="1"/>
      <c r="E38" s="30"/>
      <c r="F38" s="1"/>
      <c r="G38" s="1"/>
      <c r="H38" s="1"/>
      <c r="I38" s="1"/>
    </row>
    <row r="39" spans="1:9" ht="24" customHeight="1" x14ac:dyDescent="0.25">
      <c r="A39" s="1"/>
      <c r="B39" s="1"/>
      <c r="C39" s="1"/>
      <c r="D39" s="1"/>
      <c r="E39" s="30"/>
      <c r="F39" s="1"/>
      <c r="G39" s="1"/>
      <c r="H39" s="1"/>
      <c r="I39" s="1"/>
    </row>
    <row r="40" spans="1:9" ht="24" customHeight="1" x14ac:dyDescent="0.25">
      <c r="A40" s="1"/>
      <c r="B40" s="1"/>
      <c r="C40" s="1"/>
      <c r="D40" s="1"/>
      <c r="E40" s="30"/>
      <c r="F40" s="1"/>
      <c r="G40" s="1"/>
      <c r="H40" s="1"/>
      <c r="I40" s="1"/>
    </row>
    <row r="41" spans="1:9" ht="24" customHeight="1" x14ac:dyDescent="0.25">
      <c r="A41" s="1"/>
      <c r="B41" s="1"/>
      <c r="C41" s="1"/>
      <c r="D41" s="1"/>
      <c r="E41" s="30"/>
      <c r="F41" s="1"/>
      <c r="G41" s="1"/>
      <c r="H41" s="1"/>
      <c r="I41" s="1"/>
    </row>
    <row r="42" spans="1:9" ht="24" customHeight="1" x14ac:dyDescent="0.25">
      <c r="A42" s="1"/>
      <c r="B42" s="1"/>
      <c r="C42" s="1"/>
      <c r="D42" s="1"/>
      <c r="E42" s="30"/>
      <c r="F42" s="1"/>
      <c r="G42" s="1"/>
      <c r="H42" s="1"/>
      <c r="I42" s="1"/>
    </row>
    <row r="43" spans="1:9" ht="24" customHeight="1" x14ac:dyDescent="0.25">
      <c r="A43" s="1"/>
      <c r="B43" s="1"/>
      <c r="C43" s="1"/>
      <c r="D43" s="1"/>
      <c r="E43" s="30"/>
      <c r="F43" s="1"/>
      <c r="G43" s="1"/>
      <c r="H43" s="1"/>
      <c r="I43" s="1"/>
    </row>
    <row r="44" spans="1:9" ht="24" customHeight="1" x14ac:dyDescent="0.25">
      <c r="A44" s="1"/>
      <c r="B44" s="1"/>
      <c r="C44" s="1"/>
      <c r="D44" s="1"/>
      <c r="E44" s="30"/>
      <c r="F44" s="1"/>
      <c r="G44" s="1"/>
      <c r="H44" s="1"/>
      <c r="I44" s="1"/>
    </row>
    <row r="45" spans="1:9" ht="24" customHeight="1" x14ac:dyDescent="0.25">
      <c r="A45" s="1"/>
      <c r="B45" s="1"/>
      <c r="C45" s="1"/>
      <c r="D45" s="1"/>
      <c r="E45" s="30"/>
      <c r="F45" s="1"/>
      <c r="G45" s="1"/>
      <c r="H45" s="1"/>
      <c r="I45" s="1"/>
    </row>
    <row r="46" spans="1:9" ht="24" customHeight="1" x14ac:dyDescent="0.25">
      <c r="A46" s="1"/>
      <c r="B46" s="1"/>
      <c r="C46" s="1"/>
      <c r="D46" s="1"/>
      <c r="E46" s="30"/>
      <c r="F46" s="1"/>
      <c r="G46" s="1"/>
      <c r="H46" s="1"/>
      <c r="I46" s="1"/>
    </row>
    <row r="47" spans="1:9" ht="24" customHeight="1" x14ac:dyDescent="0.25">
      <c r="A47" s="1"/>
      <c r="B47" s="1"/>
      <c r="C47" s="1"/>
      <c r="D47" s="1"/>
      <c r="E47" s="30"/>
      <c r="F47" s="1"/>
      <c r="G47" s="1"/>
      <c r="H47" s="1"/>
      <c r="I47" s="1"/>
    </row>
    <row r="48" spans="1:9" ht="24" customHeight="1" x14ac:dyDescent="0.25">
      <c r="A48" s="1"/>
      <c r="B48" s="1"/>
      <c r="C48" s="1"/>
      <c r="D48" s="1"/>
      <c r="E48" s="30"/>
      <c r="F48" s="1"/>
      <c r="G48" s="1"/>
      <c r="H48" s="1"/>
      <c r="I48" s="1"/>
    </row>
    <row r="49" spans="1:9" ht="24" customHeight="1" x14ac:dyDescent="0.25">
      <c r="A49" s="1"/>
      <c r="B49" s="1"/>
      <c r="C49" s="1"/>
      <c r="D49" s="1"/>
      <c r="E49" s="30"/>
      <c r="F49" s="1"/>
      <c r="G49" s="1"/>
      <c r="H49" s="1"/>
      <c r="I49" s="1"/>
    </row>
    <row r="50" spans="1:9" ht="24" customHeight="1" x14ac:dyDescent="0.25">
      <c r="A50" s="1"/>
      <c r="B50" s="1"/>
      <c r="C50" s="1"/>
      <c r="D50" s="1"/>
      <c r="E50" s="30"/>
      <c r="F50" s="1"/>
      <c r="G50" s="1"/>
      <c r="H50" s="1"/>
      <c r="I50" s="1"/>
    </row>
    <row r="51" spans="1:9" ht="24" customHeight="1" x14ac:dyDescent="0.25">
      <c r="A51" s="1"/>
      <c r="B51" s="1"/>
      <c r="C51" s="1"/>
      <c r="D51" s="1"/>
      <c r="E51" s="30"/>
      <c r="F51" s="1"/>
      <c r="G51" s="1"/>
      <c r="H51" s="1"/>
      <c r="I51" s="1"/>
    </row>
    <row r="52" spans="1:9" ht="24" customHeight="1" x14ac:dyDescent="0.25">
      <c r="A52" s="1"/>
      <c r="B52" s="1"/>
      <c r="C52" s="1"/>
      <c r="D52" s="1"/>
      <c r="E52" s="30"/>
      <c r="F52" s="1"/>
      <c r="G52" s="1"/>
      <c r="H52" s="1"/>
      <c r="I52" s="1"/>
    </row>
    <row r="53" spans="1:9" ht="24" customHeight="1" x14ac:dyDescent="0.25">
      <c r="A53" s="1"/>
      <c r="B53" s="1"/>
      <c r="C53" s="1"/>
      <c r="D53" s="1"/>
      <c r="E53" s="30"/>
      <c r="F53" s="1"/>
      <c r="G53" s="1"/>
      <c r="H53" s="1"/>
      <c r="I53" s="1"/>
    </row>
    <row r="54" spans="1:9" ht="24" customHeight="1" x14ac:dyDescent="0.25">
      <c r="A54" s="1"/>
      <c r="B54" s="1"/>
      <c r="C54" s="1"/>
      <c r="D54" s="1"/>
      <c r="E54" s="30"/>
      <c r="F54" s="1"/>
      <c r="G54" s="1"/>
      <c r="H54" s="1"/>
      <c r="I54" s="1"/>
    </row>
    <row r="55" spans="1:9" ht="24" customHeight="1" x14ac:dyDescent="0.25">
      <c r="A55" s="1"/>
      <c r="B55" s="1"/>
      <c r="C55" s="1"/>
      <c r="D55" s="1"/>
      <c r="E55" s="30"/>
      <c r="F55" s="1"/>
      <c r="G55" s="1"/>
      <c r="H55" s="1"/>
      <c r="I55" s="1"/>
    </row>
    <row r="56" spans="1:9" ht="24" customHeight="1" x14ac:dyDescent="0.25">
      <c r="A56" s="1"/>
      <c r="B56" s="1"/>
      <c r="C56" s="1"/>
      <c r="D56" s="1"/>
      <c r="E56" s="30"/>
      <c r="F56" s="1"/>
      <c r="G56" s="1"/>
      <c r="H56" s="1"/>
      <c r="I56" s="1"/>
    </row>
    <row r="57" spans="1:9" ht="24" customHeight="1" x14ac:dyDescent="0.25">
      <c r="A57" s="1"/>
      <c r="B57" s="1"/>
      <c r="C57" s="1"/>
      <c r="D57" s="1"/>
      <c r="E57" s="30"/>
      <c r="F57" s="1"/>
      <c r="G57" s="1"/>
      <c r="H57" s="1"/>
      <c r="I57" s="1"/>
    </row>
    <row r="58" spans="1:9" ht="24" customHeight="1" x14ac:dyDescent="0.25">
      <c r="A58" s="1"/>
      <c r="B58" s="1"/>
      <c r="C58" s="1"/>
      <c r="D58" s="1"/>
      <c r="E58" s="30"/>
      <c r="F58" s="1"/>
      <c r="G58" s="1"/>
      <c r="H58" s="1"/>
      <c r="I58" s="1"/>
    </row>
    <row r="59" spans="1:9" ht="24" customHeight="1" x14ac:dyDescent="0.25">
      <c r="A59" s="1"/>
      <c r="B59" s="1"/>
      <c r="C59" s="1"/>
      <c r="D59" s="1"/>
      <c r="E59" s="30"/>
      <c r="F59" s="1"/>
      <c r="G59" s="1"/>
      <c r="H59" s="1"/>
      <c r="I59" s="1"/>
    </row>
    <row r="60" spans="1:9" ht="24" customHeight="1" x14ac:dyDescent="0.25">
      <c r="A60" s="1"/>
      <c r="B60" s="1"/>
      <c r="C60" s="1"/>
      <c r="D60" s="1"/>
      <c r="E60" s="30"/>
      <c r="F60" s="1"/>
      <c r="G60" s="1"/>
      <c r="H60" s="1"/>
      <c r="I60" s="1"/>
    </row>
    <row r="61" spans="1:9" ht="24" customHeight="1" x14ac:dyDescent="0.25">
      <c r="A61" s="1"/>
      <c r="B61" s="1"/>
      <c r="C61" s="1"/>
      <c r="D61" s="1"/>
      <c r="E61" s="30"/>
      <c r="F61" s="1"/>
      <c r="G61" s="1"/>
      <c r="H61" s="1"/>
      <c r="I61" s="1"/>
    </row>
    <row r="62" spans="1:9" ht="24" customHeight="1" x14ac:dyDescent="0.25">
      <c r="A62" s="1"/>
      <c r="B62" s="1"/>
      <c r="C62" s="1"/>
      <c r="D62" s="1"/>
      <c r="E62" s="30"/>
      <c r="F62" s="1"/>
      <c r="G62" s="1"/>
      <c r="H62" s="1"/>
      <c r="I62" s="1"/>
    </row>
    <row r="63" spans="1:9" ht="24" customHeight="1" x14ac:dyDescent="0.25">
      <c r="A63" s="1"/>
      <c r="B63" s="1"/>
      <c r="C63" s="1"/>
      <c r="D63" s="1"/>
      <c r="E63" s="30"/>
      <c r="F63" s="1"/>
      <c r="G63" s="1"/>
      <c r="H63" s="1"/>
      <c r="I63" s="1"/>
    </row>
  </sheetData>
  <mergeCells count="3">
    <mergeCell ref="A1:F3"/>
    <mergeCell ref="A4:F4"/>
    <mergeCell ref="C5:D5"/>
  </mergeCells>
  <pageMargins left="0.7" right="0.7" top="0.75" bottom="0.75" header="0.3" footer="0.3"/>
  <drawing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4" tint="0.79995117038483843"/>
  </sheetPr>
  <dimension ref="A1:N63"/>
  <sheetViews>
    <sheetView zoomScale="70" zoomScaleNormal="70" workbookViewId="0">
      <selection activeCell="I16" sqref="I7:I16"/>
    </sheetView>
  </sheetViews>
  <sheetFormatPr baseColWidth="10" defaultColWidth="11.42578125" defaultRowHeight="15" x14ac:dyDescent="0.25"/>
  <cols>
    <col min="1" max="1" width="25.140625" customWidth="1"/>
    <col min="2" max="2" width="14.5703125" bestFit="1" customWidth="1"/>
    <col min="3" max="3" width="26.85546875" customWidth="1"/>
    <col min="4" max="4" width="43" customWidth="1"/>
    <col min="5" max="5" width="59.140625" customWidth="1"/>
    <col min="6" max="6" width="38.140625" bestFit="1" customWidth="1"/>
    <col min="7" max="8" width="37.28515625" bestFit="1" customWidth="1"/>
    <col min="9" max="9" width="60.5703125" bestFit="1" customWidth="1"/>
    <col min="10" max="11" width="11.42578125" style="18" customWidth="1"/>
    <col min="12" max="16384" width="11.42578125" style="18"/>
  </cols>
  <sheetData>
    <row r="1" spans="1:14" ht="62.25" customHeight="1" x14ac:dyDescent="0.25">
      <c r="A1" s="47" t="s">
        <v>0</v>
      </c>
      <c r="B1" s="44"/>
      <c r="C1" s="44"/>
      <c r="D1" s="44"/>
      <c r="E1" s="44"/>
      <c r="F1" s="44"/>
      <c r="G1" s="44"/>
      <c r="H1" s="44"/>
      <c r="I1" s="44"/>
    </row>
    <row r="2" spans="1:14" ht="78.75" customHeight="1" x14ac:dyDescent="0.25">
      <c r="A2" s="44"/>
      <c r="B2" s="44"/>
      <c r="C2" s="44"/>
      <c r="D2" s="44"/>
      <c r="E2" s="44"/>
      <c r="F2" s="44"/>
      <c r="G2" s="44"/>
      <c r="H2" s="44"/>
      <c r="I2" s="44"/>
      <c r="K2" s="9"/>
    </row>
    <row r="3" spans="1:14" ht="27" customHeight="1" x14ac:dyDescent="0.25">
      <c r="A3" s="44"/>
      <c r="B3" s="44"/>
      <c r="C3" s="44"/>
      <c r="D3" s="44"/>
      <c r="E3" s="44"/>
      <c r="F3" s="44"/>
      <c r="G3" s="44"/>
      <c r="H3" s="44"/>
      <c r="I3" s="44"/>
      <c r="J3" s="25"/>
      <c r="K3" s="25"/>
      <c r="L3" s="25"/>
      <c r="M3" s="25"/>
      <c r="N3" s="25"/>
    </row>
    <row r="4" spans="1:14" ht="27" customHeight="1" x14ac:dyDescent="0.25">
      <c r="A4" s="48" t="s">
        <v>123</v>
      </c>
      <c r="B4" s="44"/>
      <c r="C4" s="44"/>
      <c r="D4" s="44"/>
      <c r="E4" s="44"/>
      <c r="F4" s="44"/>
      <c r="G4" s="44"/>
      <c r="H4" s="44"/>
      <c r="I4" s="44"/>
      <c r="J4" s="25"/>
      <c r="K4" s="25"/>
      <c r="L4" s="25"/>
      <c r="M4" s="25"/>
      <c r="N4" s="25"/>
    </row>
    <row r="5" spans="1:14" ht="28.5" customHeight="1" x14ac:dyDescent="0.45">
      <c r="A5" s="10"/>
      <c r="B5" s="10"/>
      <c r="C5" s="10"/>
      <c r="D5" s="10"/>
      <c r="E5" s="32" t="s">
        <v>2</v>
      </c>
      <c r="F5" s="17">
        <f ca="1">NOW()</f>
        <v>46135.478733912038</v>
      </c>
      <c r="G5" s="17"/>
      <c r="H5" s="17"/>
      <c r="I5" s="17"/>
      <c r="J5" s="15"/>
      <c r="M5" s="15"/>
      <c r="N5" s="2"/>
    </row>
    <row r="6" spans="1:14" ht="24" customHeight="1" x14ac:dyDescent="0.25">
      <c r="A6" s="1" t="s">
        <v>3</v>
      </c>
      <c r="B6" s="1" t="s">
        <v>4</v>
      </c>
      <c r="C6" s="1" t="s">
        <v>5</v>
      </c>
      <c r="D6" s="1" t="s">
        <v>6</v>
      </c>
      <c r="E6" s="1" t="s">
        <v>7</v>
      </c>
      <c r="F6" s="1" t="s">
        <v>8</v>
      </c>
      <c r="G6" s="1" t="s">
        <v>9</v>
      </c>
      <c r="H6" s="1" t="s">
        <v>10</v>
      </c>
      <c r="I6" s="1" t="s">
        <v>124</v>
      </c>
    </row>
    <row r="7" spans="1:14" ht="24" customHeight="1" x14ac:dyDescent="0.25">
      <c r="A7" s="1">
        <v>57441</v>
      </c>
      <c r="B7" s="1">
        <v>6992868</v>
      </c>
      <c r="C7" s="6">
        <v>36507</v>
      </c>
      <c r="D7" s="1">
        <f t="shared" ref="D7:D16" ca="1" si="0">IF(
  DATE(YEAR(TODAY()),MONTH(C7),DAY(C7))&gt;=TODAY(),
  DATE(YEAR(TODAY()),MONTH(C7),DAY(C7))-TODAY(),
  DATE(YEAR(TODAY())+1,MONTH(C7),DAY(C7))-TODAY()
)</f>
        <v>234</v>
      </c>
      <c r="E7" s="30">
        <v>46097</v>
      </c>
      <c r="F7" s="1" t="s">
        <v>182</v>
      </c>
      <c r="G7" s="33">
        <v>3500000</v>
      </c>
      <c r="H7" s="33">
        <v>0</v>
      </c>
      <c r="I7" s="1" t="s">
        <v>181</v>
      </c>
    </row>
    <row r="8" spans="1:14" ht="24" customHeight="1" x14ac:dyDescent="0.25">
      <c r="A8" s="1">
        <v>19318</v>
      </c>
      <c r="B8" s="1">
        <v>4173054</v>
      </c>
      <c r="C8" s="6">
        <v>31223</v>
      </c>
      <c r="D8" s="1">
        <f t="shared" ca="1" si="0"/>
        <v>63</v>
      </c>
      <c r="E8" s="30">
        <v>44214</v>
      </c>
      <c r="F8" s="1" t="s">
        <v>125</v>
      </c>
      <c r="G8" s="33">
        <v>7500000</v>
      </c>
      <c r="H8" s="33">
        <v>500000</v>
      </c>
      <c r="I8" s="1" t="s">
        <v>126</v>
      </c>
    </row>
    <row r="9" spans="1:14" ht="24" customHeight="1" x14ac:dyDescent="0.25">
      <c r="A9" s="1">
        <v>20466</v>
      </c>
      <c r="B9" s="1">
        <v>3811246</v>
      </c>
      <c r="C9" s="6">
        <v>33877</v>
      </c>
      <c r="D9" s="1">
        <f t="shared" ca="1" si="0"/>
        <v>160</v>
      </c>
      <c r="E9" s="30">
        <v>45931</v>
      </c>
      <c r="F9" s="1" t="s">
        <v>127</v>
      </c>
      <c r="G9" s="33">
        <v>3300000</v>
      </c>
      <c r="H9" s="33">
        <v>0</v>
      </c>
      <c r="I9" s="1" t="s">
        <v>128</v>
      </c>
    </row>
    <row r="10" spans="1:14" ht="24" customHeight="1" x14ac:dyDescent="0.25">
      <c r="A10" s="1">
        <v>11077</v>
      </c>
      <c r="B10" s="1">
        <v>6654652</v>
      </c>
      <c r="C10" s="6">
        <v>29954</v>
      </c>
      <c r="D10" s="1">
        <f t="shared" ca="1" si="0"/>
        <v>255</v>
      </c>
      <c r="E10" s="30">
        <v>41830</v>
      </c>
      <c r="F10" s="1" t="s">
        <v>129</v>
      </c>
      <c r="G10" s="33">
        <v>3000000</v>
      </c>
      <c r="H10" s="33">
        <v>0</v>
      </c>
      <c r="I10" s="1" t="s">
        <v>130</v>
      </c>
    </row>
    <row r="11" spans="1:14" ht="24" customHeight="1" x14ac:dyDescent="0.25">
      <c r="A11" s="1">
        <v>33320</v>
      </c>
      <c r="B11" s="1">
        <v>4121778</v>
      </c>
      <c r="C11" s="6">
        <v>31176</v>
      </c>
      <c r="D11" s="1">
        <f t="shared" ca="1" si="0"/>
        <v>16</v>
      </c>
      <c r="E11" s="30" t="s">
        <v>206</v>
      </c>
      <c r="F11" s="30" t="s">
        <v>206</v>
      </c>
      <c r="G11" s="30" t="s">
        <v>206</v>
      </c>
      <c r="H11" s="30" t="s">
        <v>206</v>
      </c>
      <c r="I11" s="1" t="s">
        <v>188</v>
      </c>
    </row>
    <row r="12" spans="1:14" ht="24" customHeight="1" x14ac:dyDescent="0.25">
      <c r="A12" s="1">
        <v>55587</v>
      </c>
      <c r="B12" s="1">
        <v>4658144</v>
      </c>
      <c r="C12" s="6">
        <v>34007</v>
      </c>
      <c r="D12" s="1">
        <f t="shared" ca="1" si="0"/>
        <v>290</v>
      </c>
      <c r="E12" s="30" t="s">
        <v>206</v>
      </c>
      <c r="F12" s="30" t="s">
        <v>206</v>
      </c>
      <c r="G12" s="30" t="s">
        <v>206</v>
      </c>
      <c r="H12" s="30" t="s">
        <v>206</v>
      </c>
      <c r="I12" s="1" t="s">
        <v>189</v>
      </c>
    </row>
    <row r="13" spans="1:14" ht="24" customHeight="1" x14ac:dyDescent="0.25">
      <c r="A13" s="1">
        <v>54224</v>
      </c>
      <c r="B13" s="1">
        <v>3807153</v>
      </c>
      <c r="C13" s="6">
        <v>32247</v>
      </c>
      <c r="D13" s="1">
        <f t="shared" ca="1" si="0"/>
        <v>356</v>
      </c>
      <c r="E13" s="30" t="s">
        <v>206</v>
      </c>
      <c r="F13" s="30" t="s">
        <v>206</v>
      </c>
      <c r="G13" s="30" t="s">
        <v>206</v>
      </c>
      <c r="H13" s="30" t="s">
        <v>206</v>
      </c>
      <c r="I13" s="1" t="s">
        <v>190</v>
      </c>
    </row>
    <row r="14" spans="1:14" ht="24" customHeight="1" x14ac:dyDescent="0.25">
      <c r="A14" s="1">
        <v>39985</v>
      </c>
      <c r="B14" s="1">
        <v>6170757</v>
      </c>
      <c r="C14" s="6">
        <v>29259</v>
      </c>
      <c r="D14" s="1">
        <f t="shared" ca="1" si="0"/>
        <v>291</v>
      </c>
      <c r="E14" s="30" t="s">
        <v>206</v>
      </c>
      <c r="F14" s="30" t="s">
        <v>206</v>
      </c>
      <c r="G14" s="30" t="s">
        <v>206</v>
      </c>
      <c r="H14" s="30" t="s">
        <v>206</v>
      </c>
      <c r="I14" s="1" t="s">
        <v>191</v>
      </c>
    </row>
    <row r="15" spans="1:14" ht="24" customHeight="1" x14ac:dyDescent="0.25">
      <c r="A15" s="1">
        <v>40543</v>
      </c>
      <c r="B15" s="1">
        <v>3524206</v>
      </c>
      <c r="C15" s="6">
        <v>29696</v>
      </c>
      <c r="D15" s="1">
        <f t="shared" ca="1" si="0"/>
        <v>362</v>
      </c>
      <c r="E15" s="30" t="s">
        <v>206</v>
      </c>
      <c r="F15" s="30" t="s">
        <v>206</v>
      </c>
      <c r="G15" s="30" t="s">
        <v>206</v>
      </c>
      <c r="H15" s="30" t="s">
        <v>206</v>
      </c>
      <c r="I15" s="1" t="s">
        <v>192</v>
      </c>
    </row>
    <row r="16" spans="1:14" ht="24" customHeight="1" x14ac:dyDescent="0.25">
      <c r="A16" s="1">
        <v>13705</v>
      </c>
      <c r="B16" s="1">
        <v>4066345</v>
      </c>
      <c r="C16" s="6">
        <v>31298</v>
      </c>
      <c r="D16" s="1">
        <f t="shared" ca="1" si="0"/>
        <v>138</v>
      </c>
      <c r="E16" s="30" t="s">
        <v>206</v>
      </c>
      <c r="F16" s="30" t="s">
        <v>206</v>
      </c>
      <c r="G16" s="30" t="s">
        <v>206</v>
      </c>
      <c r="H16" s="30" t="s">
        <v>206</v>
      </c>
      <c r="I16" s="1" t="s">
        <v>193</v>
      </c>
    </row>
    <row r="17" spans="1:9" ht="24" customHeight="1" x14ac:dyDescent="0.25">
      <c r="A17" s="1"/>
      <c r="B17" s="1"/>
      <c r="C17" s="1"/>
      <c r="D17" s="1"/>
      <c r="E17" s="30"/>
      <c r="F17" s="1"/>
      <c r="G17" s="1"/>
      <c r="H17" s="1"/>
      <c r="I17" s="1"/>
    </row>
    <row r="18" spans="1:9" ht="24" customHeight="1" x14ac:dyDescent="0.25">
      <c r="A18" s="1"/>
      <c r="B18" s="1"/>
      <c r="C18" s="1"/>
      <c r="D18" s="1"/>
      <c r="E18" s="30"/>
      <c r="F18" s="1"/>
      <c r="G18" s="1"/>
      <c r="H18" s="1"/>
      <c r="I18" s="1"/>
    </row>
    <row r="19" spans="1:9" ht="24" customHeight="1" x14ac:dyDescent="0.25">
      <c r="A19" s="1"/>
      <c r="B19" s="1"/>
      <c r="C19" s="1"/>
      <c r="D19" s="1"/>
      <c r="E19" s="30"/>
      <c r="F19" s="1"/>
      <c r="G19" s="1"/>
      <c r="H19" s="1"/>
      <c r="I19" s="1"/>
    </row>
    <row r="20" spans="1:9" ht="24" customHeight="1" x14ac:dyDescent="0.25">
      <c r="A20" s="1"/>
      <c r="B20" s="1"/>
      <c r="C20" s="1"/>
      <c r="D20" s="1"/>
      <c r="E20" s="30"/>
      <c r="F20" s="1"/>
      <c r="G20" s="1"/>
      <c r="H20" s="1"/>
      <c r="I20" s="1"/>
    </row>
    <row r="21" spans="1:9" ht="24" customHeight="1" x14ac:dyDescent="0.25">
      <c r="A21" s="1"/>
      <c r="B21" s="1"/>
      <c r="C21" s="1"/>
      <c r="D21" s="1"/>
      <c r="E21" s="30"/>
      <c r="F21" s="1"/>
      <c r="G21" s="1"/>
      <c r="H21" s="1"/>
      <c r="I21" s="1"/>
    </row>
    <row r="22" spans="1:9" ht="24" customHeight="1" x14ac:dyDescent="0.25">
      <c r="A22" s="1"/>
      <c r="B22" s="1"/>
      <c r="C22" s="1"/>
      <c r="D22" s="1"/>
      <c r="E22" s="30"/>
      <c r="F22" s="1"/>
      <c r="G22" s="1"/>
      <c r="H22" s="1"/>
      <c r="I22" s="1"/>
    </row>
    <row r="23" spans="1:9" ht="24" customHeight="1" x14ac:dyDescent="0.25">
      <c r="A23" s="1"/>
      <c r="B23" s="1"/>
      <c r="C23" s="1"/>
      <c r="D23" s="1"/>
      <c r="E23" s="30"/>
      <c r="F23" s="1"/>
      <c r="G23" s="1"/>
      <c r="H23" s="1"/>
      <c r="I23" s="1"/>
    </row>
    <row r="24" spans="1:9" ht="24" customHeight="1" x14ac:dyDescent="0.25">
      <c r="A24" s="1"/>
      <c r="B24" s="1"/>
      <c r="C24" s="1"/>
      <c r="D24" s="1"/>
      <c r="E24" s="30"/>
      <c r="F24" s="1"/>
      <c r="G24" s="1"/>
      <c r="H24" s="1"/>
      <c r="I24" s="1"/>
    </row>
    <row r="25" spans="1:9" ht="24" customHeight="1" x14ac:dyDescent="0.25">
      <c r="A25" s="1"/>
      <c r="B25" s="1"/>
      <c r="C25" s="1"/>
      <c r="D25" s="1"/>
      <c r="E25" s="30"/>
      <c r="F25" s="1"/>
      <c r="G25" s="1"/>
      <c r="H25" s="1"/>
      <c r="I25" s="1"/>
    </row>
    <row r="26" spans="1:9" ht="24" customHeight="1" x14ac:dyDescent="0.25">
      <c r="A26" s="1"/>
      <c r="B26" s="1"/>
      <c r="C26" s="1"/>
      <c r="D26" s="1"/>
      <c r="E26" s="30"/>
      <c r="F26" s="1"/>
      <c r="G26" s="1"/>
      <c r="H26" s="1"/>
      <c r="I26" s="1"/>
    </row>
    <row r="27" spans="1:9" ht="24" customHeight="1" x14ac:dyDescent="0.25">
      <c r="A27" s="1"/>
      <c r="B27" s="1"/>
      <c r="C27" s="1"/>
      <c r="D27" s="1"/>
      <c r="E27" s="30"/>
      <c r="F27" s="1"/>
      <c r="G27" s="1"/>
      <c r="H27" s="1"/>
      <c r="I27" s="1"/>
    </row>
    <row r="28" spans="1:9" ht="24" customHeight="1" x14ac:dyDescent="0.25">
      <c r="A28" s="1"/>
      <c r="B28" s="1"/>
      <c r="C28" s="1"/>
      <c r="D28" s="1"/>
      <c r="E28" s="30"/>
      <c r="F28" s="1"/>
      <c r="G28" s="1"/>
      <c r="H28" s="1"/>
      <c r="I28" s="1"/>
    </row>
    <row r="29" spans="1:9" ht="24" customHeight="1" x14ac:dyDescent="0.25">
      <c r="A29" s="1"/>
      <c r="B29" s="1"/>
      <c r="C29" s="1"/>
      <c r="D29" s="1"/>
      <c r="E29" s="30"/>
      <c r="F29" s="1"/>
      <c r="G29" s="1"/>
      <c r="H29" s="1"/>
      <c r="I29" s="1"/>
    </row>
    <row r="30" spans="1:9" ht="24" customHeight="1" x14ac:dyDescent="0.25">
      <c r="A30" s="1"/>
      <c r="B30" s="1"/>
      <c r="C30" s="1"/>
      <c r="D30" s="1"/>
      <c r="E30" s="30"/>
      <c r="F30" s="1"/>
      <c r="G30" s="1"/>
      <c r="H30" s="1"/>
      <c r="I30" s="1"/>
    </row>
    <row r="31" spans="1:9" ht="24" customHeight="1" x14ac:dyDescent="0.25">
      <c r="A31" s="1"/>
      <c r="B31" s="1"/>
      <c r="C31" s="1"/>
      <c r="D31" s="1"/>
      <c r="E31" s="30"/>
      <c r="F31" s="1"/>
      <c r="G31" s="1"/>
      <c r="H31" s="1"/>
      <c r="I31" s="1"/>
    </row>
    <row r="32" spans="1:9" ht="24" customHeight="1" x14ac:dyDescent="0.25">
      <c r="A32" s="1"/>
      <c r="B32" s="1"/>
      <c r="C32" s="1"/>
      <c r="D32" s="1"/>
      <c r="E32" s="30"/>
      <c r="F32" s="1"/>
      <c r="G32" s="1"/>
      <c r="H32" s="1"/>
      <c r="I32" s="1"/>
    </row>
    <row r="33" spans="1:9" ht="24" customHeight="1" x14ac:dyDescent="0.25">
      <c r="A33" s="1"/>
      <c r="B33" s="1"/>
      <c r="C33" s="1"/>
      <c r="D33" s="1"/>
      <c r="E33" s="30"/>
      <c r="F33" s="1"/>
      <c r="G33" s="1"/>
      <c r="H33" s="1"/>
      <c r="I33" s="1"/>
    </row>
    <row r="34" spans="1:9" ht="24" customHeight="1" x14ac:dyDescent="0.25">
      <c r="A34" s="1"/>
      <c r="B34" s="1"/>
      <c r="C34" s="1"/>
      <c r="D34" s="1"/>
      <c r="E34" s="30"/>
      <c r="F34" s="1"/>
      <c r="G34" s="1"/>
      <c r="H34" s="1"/>
      <c r="I34" s="1"/>
    </row>
    <row r="35" spans="1:9" ht="24" customHeight="1" x14ac:dyDescent="0.25">
      <c r="A35" s="1"/>
      <c r="B35" s="1"/>
      <c r="C35" s="1"/>
      <c r="D35" s="1"/>
      <c r="E35" s="30"/>
      <c r="F35" s="1"/>
      <c r="G35" s="1"/>
      <c r="H35" s="1"/>
      <c r="I35" s="1"/>
    </row>
    <row r="36" spans="1:9" ht="24" customHeight="1" x14ac:dyDescent="0.25">
      <c r="A36" s="1"/>
      <c r="B36" s="1"/>
      <c r="C36" s="1"/>
      <c r="D36" s="1"/>
      <c r="E36" s="30"/>
      <c r="F36" s="1"/>
      <c r="G36" s="1"/>
      <c r="H36" s="1"/>
      <c r="I36" s="1"/>
    </row>
    <row r="37" spans="1:9" ht="24" customHeight="1" x14ac:dyDescent="0.25">
      <c r="A37" s="1"/>
      <c r="B37" s="1"/>
      <c r="C37" s="1"/>
      <c r="D37" s="1"/>
      <c r="E37" s="30"/>
      <c r="F37" s="1"/>
      <c r="G37" s="1"/>
      <c r="H37" s="1"/>
      <c r="I37" s="1"/>
    </row>
    <row r="38" spans="1:9" ht="24" customHeight="1" x14ac:dyDescent="0.25">
      <c r="A38" s="1"/>
      <c r="B38" s="1"/>
      <c r="C38" s="1"/>
      <c r="D38" s="1"/>
      <c r="E38" s="30"/>
      <c r="F38" s="1"/>
      <c r="G38" s="1"/>
      <c r="H38" s="1"/>
      <c r="I38" s="1"/>
    </row>
    <row r="39" spans="1:9" ht="24" customHeight="1" x14ac:dyDescent="0.25">
      <c r="A39" s="1"/>
      <c r="B39" s="1"/>
      <c r="C39" s="1"/>
      <c r="D39" s="1"/>
      <c r="E39" s="30"/>
      <c r="F39" s="1"/>
      <c r="G39" s="1"/>
      <c r="H39" s="1"/>
      <c r="I39" s="1"/>
    </row>
    <row r="40" spans="1:9" ht="24" customHeight="1" x14ac:dyDescent="0.25">
      <c r="A40" s="1"/>
      <c r="B40" s="1"/>
      <c r="C40" s="1"/>
      <c r="D40" s="1"/>
      <c r="E40" s="30"/>
      <c r="F40" s="1"/>
      <c r="G40" s="1"/>
      <c r="H40" s="1"/>
      <c r="I40" s="1"/>
    </row>
    <row r="41" spans="1:9" ht="24" customHeight="1" x14ac:dyDescent="0.25">
      <c r="A41" s="1"/>
      <c r="B41" s="1"/>
      <c r="C41" s="1"/>
      <c r="D41" s="1"/>
      <c r="E41" s="30"/>
      <c r="F41" s="1"/>
      <c r="G41" s="1"/>
      <c r="H41" s="1"/>
      <c r="I41" s="1"/>
    </row>
    <row r="42" spans="1:9" ht="24" customHeight="1" x14ac:dyDescent="0.25">
      <c r="A42" s="1"/>
      <c r="B42" s="1"/>
      <c r="C42" s="1"/>
      <c r="D42" s="1"/>
      <c r="E42" s="30"/>
      <c r="F42" s="1"/>
      <c r="G42" s="1"/>
      <c r="H42" s="1"/>
      <c r="I42" s="1"/>
    </row>
    <row r="43" spans="1:9" ht="24" customHeight="1" x14ac:dyDescent="0.25">
      <c r="A43" s="1"/>
      <c r="B43" s="1"/>
      <c r="C43" s="1"/>
      <c r="D43" s="1"/>
      <c r="E43" s="30"/>
      <c r="F43" s="1"/>
      <c r="G43" s="1"/>
      <c r="H43" s="1"/>
      <c r="I43" s="1"/>
    </row>
    <row r="44" spans="1:9" ht="24" customHeight="1" x14ac:dyDescent="0.25">
      <c r="A44" s="1"/>
      <c r="B44" s="1"/>
      <c r="C44" s="1"/>
      <c r="D44" s="1"/>
      <c r="E44" s="30"/>
      <c r="F44" s="1"/>
      <c r="G44" s="1"/>
      <c r="H44" s="1"/>
      <c r="I44" s="1"/>
    </row>
    <row r="45" spans="1:9" ht="24" customHeight="1" x14ac:dyDescent="0.25">
      <c r="A45" s="1"/>
      <c r="B45" s="1"/>
      <c r="C45" s="1"/>
      <c r="D45" s="1"/>
      <c r="E45" s="30"/>
      <c r="F45" s="1"/>
      <c r="G45" s="1"/>
      <c r="H45" s="1"/>
      <c r="I45" s="1"/>
    </row>
    <row r="46" spans="1:9" ht="24" customHeight="1" x14ac:dyDescent="0.25">
      <c r="A46" s="1"/>
      <c r="B46" s="1"/>
      <c r="C46" s="1"/>
      <c r="D46" s="1"/>
      <c r="E46" s="30"/>
      <c r="F46" s="1"/>
      <c r="G46" s="1"/>
      <c r="H46" s="1"/>
      <c r="I46" s="1"/>
    </row>
    <row r="47" spans="1:9" ht="24" customHeight="1" x14ac:dyDescent="0.25">
      <c r="A47" s="1"/>
      <c r="B47" s="1"/>
      <c r="C47" s="1"/>
      <c r="D47" s="1"/>
      <c r="E47" s="30"/>
      <c r="F47" s="1"/>
      <c r="G47" s="1"/>
      <c r="H47" s="1"/>
      <c r="I47" s="1"/>
    </row>
    <row r="48" spans="1:9" ht="24" customHeight="1" x14ac:dyDescent="0.25">
      <c r="A48" s="1"/>
      <c r="B48" s="1"/>
      <c r="C48" s="1"/>
      <c r="D48" s="1"/>
      <c r="E48" s="30"/>
      <c r="F48" s="1"/>
      <c r="G48" s="1"/>
      <c r="H48" s="1"/>
      <c r="I48" s="1"/>
    </row>
    <row r="49" spans="1:9" ht="24" customHeight="1" x14ac:dyDescent="0.25">
      <c r="A49" s="1"/>
      <c r="B49" s="1"/>
      <c r="C49" s="1"/>
      <c r="D49" s="1"/>
      <c r="E49" s="30"/>
      <c r="F49" s="1"/>
      <c r="G49" s="1"/>
      <c r="H49" s="1"/>
      <c r="I49" s="1"/>
    </row>
    <row r="50" spans="1:9" ht="24" customHeight="1" x14ac:dyDescent="0.25">
      <c r="A50" s="1"/>
      <c r="B50" s="1"/>
      <c r="C50" s="1"/>
      <c r="D50" s="1"/>
      <c r="E50" s="30"/>
      <c r="F50" s="1"/>
      <c r="G50" s="1"/>
      <c r="H50" s="1"/>
      <c r="I50" s="1"/>
    </row>
    <row r="51" spans="1:9" ht="24" customHeight="1" x14ac:dyDescent="0.25">
      <c r="A51" s="1"/>
      <c r="B51" s="1"/>
      <c r="C51" s="1"/>
      <c r="D51" s="1"/>
      <c r="E51" s="30"/>
      <c r="F51" s="1"/>
      <c r="G51" s="1"/>
      <c r="H51" s="1"/>
      <c r="I51" s="1"/>
    </row>
    <row r="52" spans="1:9" ht="24" customHeight="1" x14ac:dyDescent="0.25">
      <c r="A52" s="1"/>
      <c r="B52" s="1"/>
      <c r="C52" s="1"/>
      <c r="D52" s="1"/>
      <c r="E52" s="30"/>
      <c r="F52" s="1"/>
      <c r="G52" s="1"/>
      <c r="H52" s="1"/>
      <c r="I52" s="1"/>
    </row>
    <row r="53" spans="1:9" ht="24" customHeight="1" x14ac:dyDescent="0.25">
      <c r="A53" s="1"/>
      <c r="B53" s="1"/>
      <c r="C53" s="1"/>
      <c r="D53" s="1"/>
      <c r="E53" s="30"/>
      <c r="F53" s="1"/>
      <c r="G53" s="1"/>
      <c r="H53" s="1"/>
      <c r="I53" s="1"/>
    </row>
    <row r="54" spans="1:9" ht="24" customHeight="1" x14ac:dyDescent="0.25">
      <c r="A54" s="1"/>
      <c r="B54" s="1"/>
      <c r="C54" s="1"/>
      <c r="D54" s="1"/>
      <c r="E54" s="30"/>
      <c r="F54" s="1"/>
      <c r="G54" s="1"/>
      <c r="H54" s="1"/>
      <c r="I54" s="1"/>
    </row>
    <row r="55" spans="1:9" ht="24" customHeight="1" x14ac:dyDescent="0.25">
      <c r="A55" s="1"/>
      <c r="B55" s="1"/>
      <c r="C55" s="1"/>
      <c r="D55" s="1"/>
      <c r="E55" s="30"/>
      <c r="F55" s="1"/>
      <c r="G55" s="1"/>
      <c r="H55" s="1"/>
      <c r="I55" s="1"/>
    </row>
    <row r="56" spans="1:9" ht="24" customHeight="1" x14ac:dyDescent="0.25">
      <c r="A56" s="1"/>
      <c r="B56" s="1"/>
      <c r="C56" s="1"/>
      <c r="D56" s="1"/>
      <c r="E56" s="30"/>
      <c r="F56" s="1"/>
      <c r="G56" s="1"/>
      <c r="H56" s="1"/>
      <c r="I56" s="1"/>
    </row>
    <row r="57" spans="1:9" ht="24" customHeight="1" x14ac:dyDescent="0.25">
      <c r="A57" s="1"/>
      <c r="B57" s="1"/>
      <c r="C57" s="1"/>
      <c r="D57" s="1"/>
      <c r="E57" s="30"/>
      <c r="F57" s="1"/>
      <c r="G57" s="1"/>
      <c r="H57" s="1"/>
      <c r="I57" s="1"/>
    </row>
    <row r="58" spans="1:9" ht="24" customHeight="1" x14ac:dyDescent="0.25">
      <c r="A58" s="1"/>
      <c r="B58" s="1"/>
      <c r="C58" s="1"/>
      <c r="D58" s="1"/>
      <c r="E58" s="30"/>
      <c r="F58" s="1"/>
      <c r="G58" s="1"/>
      <c r="H58" s="1"/>
      <c r="I58" s="1"/>
    </row>
    <row r="59" spans="1:9" ht="24" customHeight="1" x14ac:dyDescent="0.25">
      <c r="A59" s="1"/>
      <c r="B59" s="1"/>
      <c r="C59" s="1"/>
      <c r="D59" s="1"/>
      <c r="E59" s="30"/>
      <c r="F59" s="1"/>
      <c r="G59" s="1"/>
      <c r="H59" s="1"/>
      <c r="I59" s="1"/>
    </row>
    <row r="60" spans="1:9" ht="24" customHeight="1" x14ac:dyDescent="0.25">
      <c r="A60" s="1"/>
      <c r="B60" s="1"/>
      <c r="C60" s="1"/>
      <c r="D60" s="1"/>
      <c r="E60" s="30"/>
      <c r="F60" s="1"/>
      <c r="G60" s="1"/>
      <c r="H60" s="1"/>
      <c r="I60" s="1"/>
    </row>
    <row r="61" spans="1:9" ht="24" customHeight="1" x14ac:dyDescent="0.25">
      <c r="A61" s="1"/>
      <c r="B61" s="1"/>
      <c r="C61" s="1"/>
      <c r="D61" s="1"/>
      <c r="E61" s="30"/>
      <c r="F61" s="1"/>
      <c r="G61" s="1"/>
      <c r="H61" s="1"/>
      <c r="I61" s="1"/>
    </row>
    <row r="62" spans="1:9" ht="24" customHeight="1" x14ac:dyDescent="0.25">
      <c r="A62" s="1"/>
      <c r="B62" s="1"/>
      <c r="C62" s="1"/>
      <c r="D62" s="1"/>
      <c r="E62" s="30"/>
      <c r="F62" s="1"/>
      <c r="G62" s="1"/>
      <c r="H62" s="1"/>
      <c r="I62" s="1"/>
    </row>
    <row r="63" spans="1:9" ht="24" customHeight="1" x14ac:dyDescent="0.25">
      <c r="A63" s="1"/>
      <c r="B63" s="1"/>
      <c r="C63" s="1"/>
      <c r="D63" s="1"/>
      <c r="E63" s="30"/>
      <c r="F63" s="1"/>
      <c r="G63" s="1"/>
      <c r="H63" s="1"/>
      <c r="I63" s="1"/>
    </row>
  </sheetData>
  <mergeCells count="2">
    <mergeCell ref="A4:I4"/>
    <mergeCell ref="A1:I3"/>
  </mergeCells>
  <pageMargins left="0.7" right="0.7" top="0.75" bottom="0.75" header="0.3" footer="0.3"/>
  <drawing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2" tint="-9.9978637043366805E-2"/>
    <pageSetUpPr fitToPage="1"/>
  </sheetPr>
  <dimension ref="A1:K61"/>
  <sheetViews>
    <sheetView tabSelected="1" topLeftCell="A2" zoomScale="70" zoomScaleNormal="70" workbookViewId="0">
      <selection activeCell="G18" sqref="G18"/>
    </sheetView>
  </sheetViews>
  <sheetFormatPr baseColWidth="10" defaultColWidth="11.42578125" defaultRowHeight="15" x14ac:dyDescent="0.25"/>
  <cols>
    <col min="1" max="1" width="25.140625" customWidth="1"/>
    <col min="2" max="2" width="14.5703125" bestFit="1" customWidth="1"/>
    <col min="3" max="4" width="59.140625" customWidth="1"/>
    <col min="5" max="5" width="48.85546875" bestFit="1" customWidth="1"/>
    <col min="6" max="6" width="33.5703125" customWidth="1"/>
    <col min="7" max="7" width="18.5703125" customWidth="1"/>
    <col min="8" max="8" width="14.140625" customWidth="1"/>
    <col min="9" max="9" width="66.7109375" bestFit="1" customWidth="1"/>
    <col min="10" max="11" width="11.42578125" style="18" customWidth="1"/>
    <col min="12" max="16384" width="11.42578125" style="18"/>
  </cols>
  <sheetData>
    <row r="1" spans="1:11" ht="52.5" customHeight="1" x14ac:dyDescent="0.25">
      <c r="A1" s="47" t="s">
        <v>0</v>
      </c>
      <c r="B1" s="44"/>
      <c r="C1" s="44"/>
      <c r="D1" s="44"/>
      <c r="E1" s="44"/>
      <c r="F1" s="44"/>
      <c r="G1" s="18"/>
      <c r="H1" s="18"/>
      <c r="I1" s="18"/>
    </row>
    <row r="2" spans="1:11" ht="78.75" customHeight="1" x14ac:dyDescent="0.25">
      <c r="A2" s="44"/>
      <c r="B2" s="44"/>
      <c r="C2" s="44"/>
      <c r="D2" s="44"/>
      <c r="E2" s="44"/>
      <c r="F2" s="44"/>
      <c r="G2" s="18"/>
      <c r="H2" s="9"/>
      <c r="I2" s="18"/>
    </row>
    <row r="3" spans="1:11" ht="27" customHeight="1" x14ac:dyDescent="0.25">
      <c r="A3" s="44"/>
      <c r="B3" s="44"/>
      <c r="C3" s="44"/>
      <c r="D3" s="44"/>
      <c r="E3" s="44"/>
      <c r="F3" s="44"/>
      <c r="G3" s="25"/>
      <c r="H3" s="25"/>
      <c r="I3" s="25"/>
      <c r="J3" s="25"/>
      <c r="K3" s="25"/>
    </row>
    <row r="4" spans="1:11" ht="27" customHeight="1" x14ac:dyDescent="0.25">
      <c r="A4" s="48" t="s">
        <v>131</v>
      </c>
      <c r="B4" s="44"/>
      <c r="C4" s="44"/>
      <c r="D4" s="44"/>
      <c r="E4" s="44"/>
      <c r="F4" s="44"/>
      <c r="G4" s="25"/>
      <c r="H4" s="25"/>
      <c r="I4" s="25"/>
      <c r="J4" s="25"/>
      <c r="K4" s="25"/>
    </row>
    <row r="5" spans="1:11" ht="28.5" customHeight="1" x14ac:dyDescent="0.45">
      <c r="A5" s="10"/>
      <c r="B5" s="10"/>
      <c r="C5" s="48" t="s">
        <v>2</v>
      </c>
      <c r="D5" s="44"/>
      <c r="E5" s="17">
        <f ca="1">NOW()</f>
        <v>46135.478733912038</v>
      </c>
      <c r="F5" s="17"/>
      <c r="G5" s="15"/>
      <c r="H5" s="18"/>
      <c r="I5" s="18"/>
      <c r="J5" s="15"/>
      <c r="K5" s="2"/>
    </row>
    <row r="6" spans="1:11" ht="24" customHeight="1" x14ac:dyDescent="0.25">
      <c r="A6" s="1" t="s">
        <v>3</v>
      </c>
      <c r="B6" s="1" t="s">
        <v>4</v>
      </c>
      <c r="C6" s="1" t="s">
        <v>5</v>
      </c>
      <c r="D6" s="1" t="s">
        <v>6</v>
      </c>
      <c r="E6" s="1" t="s">
        <v>7</v>
      </c>
      <c r="F6" s="1" t="s">
        <v>8</v>
      </c>
      <c r="G6" s="1" t="s">
        <v>9</v>
      </c>
      <c r="H6" s="1" t="s">
        <v>10</v>
      </c>
      <c r="I6" s="1" t="s">
        <v>132</v>
      </c>
    </row>
    <row r="7" spans="1:11" ht="24" customHeight="1" x14ac:dyDescent="0.25">
      <c r="A7" s="1">
        <v>42260</v>
      </c>
      <c r="B7" s="1">
        <v>7169140</v>
      </c>
      <c r="C7" s="6">
        <v>35868</v>
      </c>
      <c r="D7" s="1">
        <f ca="1">IF(
  DATE(YEAR(TODAY()),MONTH(C7),DAY(C7))&gt;=TODAY(),
  DATE(YEAR(TODAY()),MONTH(C7),DAY(C7))-TODAY(),
  DATE(YEAR(TODAY())+1,MONTH(C7),DAY(C7))-TODAY()
)</f>
        <v>325</v>
      </c>
      <c r="E7" s="30">
        <v>43207</v>
      </c>
      <c r="F7" s="1" t="s">
        <v>102</v>
      </c>
      <c r="G7" s="1">
        <v>3000000</v>
      </c>
      <c r="H7" s="1">
        <v>300000</v>
      </c>
      <c r="I7" s="1" t="s">
        <v>133</v>
      </c>
    </row>
    <row r="8" spans="1:11" ht="24" customHeight="1" x14ac:dyDescent="0.25">
      <c r="A8" s="1">
        <v>41728</v>
      </c>
      <c r="B8" s="1">
        <v>5398899</v>
      </c>
      <c r="C8" s="6">
        <v>34084</v>
      </c>
      <c r="D8" s="1">
        <f ca="1">IF(
DATE(YEAR(TODAY()),MONTH(C8),DAY(C8))&gt;=TODAY(),
DATE(YEAR(TODAY()),MONTH(C8),DAY(C8))-TODAY(),
DATE(YEAR(TODAY())+1,MONTH(C8),DAY(C8))-TODAY()
)</f>
        <v>2</v>
      </c>
      <c r="E8" s="30">
        <v>43084</v>
      </c>
      <c r="F8" s="1" t="s">
        <v>67</v>
      </c>
      <c r="G8" s="1">
        <v>3000000</v>
      </c>
      <c r="H8" s="1">
        <v>200000</v>
      </c>
      <c r="I8" s="1" t="s">
        <v>134</v>
      </c>
    </row>
    <row r="9" spans="1:11" ht="24" customHeight="1" x14ac:dyDescent="0.25">
      <c r="A9" s="1">
        <v>15759</v>
      </c>
      <c r="B9" s="1">
        <v>2052551</v>
      </c>
      <c r="C9" s="6">
        <v>27167</v>
      </c>
      <c r="D9" s="1">
        <f ca="1">IF(
DATE(YEAR(TODAY()),MONTH(C9),DAY(C9))&gt;=TODAY(),
DATE(YEAR(TODAY()),MONTH(C9),DAY(C9))-TODAY(),
DATE(YEAR(TODAY())+1,MONTH(C9),DAY(C9))-TODAY()
)</f>
        <v>25</v>
      </c>
      <c r="E9" s="30">
        <v>40239</v>
      </c>
      <c r="F9" s="1" t="s">
        <v>135</v>
      </c>
      <c r="G9" s="1">
        <v>6000000</v>
      </c>
      <c r="H9" s="1">
        <v>500000</v>
      </c>
      <c r="I9" s="1" t="s">
        <v>136</v>
      </c>
    </row>
    <row r="10" spans="1:11" ht="24" customHeight="1" x14ac:dyDescent="0.25">
      <c r="A10" s="1">
        <v>57306</v>
      </c>
      <c r="B10" s="1">
        <v>5821288</v>
      </c>
      <c r="C10" s="6">
        <v>38880</v>
      </c>
      <c r="D10" s="1">
        <v>111</v>
      </c>
      <c r="E10" s="30" t="s">
        <v>174</v>
      </c>
      <c r="F10" s="1" t="s">
        <v>161</v>
      </c>
      <c r="G10" s="1">
        <v>3000000</v>
      </c>
      <c r="H10" s="1"/>
      <c r="I10" s="1" t="s">
        <v>175</v>
      </c>
    </row>
    <row r="11" spans="1:11" ht="24" customHeight="1" x14ac:dyDescent="0.25">
      <c r="A11" s="1">
        <v>51480</v>
      </c>
      <c r="B11" s="1">
        <v>5057180</v>
      </c>
      <c r="C11" s="6">
        <v>36039</v>
      </c>
      <c r="D11" s="1">
        <f ca="1">IF(
DATE(YEAR(TODAY()),MONTH(C11),DAY(C11))&gt;=TODAY(),
DATE(YEAR(TODAY()),MONTH(C11),DAY(C11))-TODAY(),
DATE(YEAR(TODAY())+1,MONTH(C11),DAY(C11))-TODAY()
)</f>
        <v>131</v>
      </c>
      <c r="E11" s="30">
        <v>44774</v>
      </c>
      <c r="F11" s="1" t="s">
        <v>14</v>
      </c>
      <c r="G11" s="1">
        <v>3300000</v>
      </c>
      <c r="H11" s="1">
        <v>300000</v>
      </c>
      <c r="I11" s="1" t="s">
        <v>137</v>
      </c>
    </row>
    <row r="12" spans="1:11" ht="24" customHeight="1" x14ac:dyDescent="0.25">
      <c r="A12" s="1">
        <v>51425</v>
      </c>
      <c r="B12" s="1">
        <v>4060567</v>
      </c>
      <c r="C12" s="6">
        <v>35449</v>
      </c>
      <c r="D12" s="1">
        <f ca="1">IF(
DATE(YEAR(TODAY()),MONTH(C12),DAY(C12))&gt;=TODAY(),
DATE(YEAR(TODAY()),MONTH(C12),DAY(C12))-TODAY(),
DATE(YEAR(TODAY())+1,MONTH(C12),DAY(C12))-TODAY()
)</f>
        <v>271</v>
      </c>
      <c r="E12" s="30">
        <v>44750</v>
      </c>
      <c r="F12" s="1" t="s">
        <v>14</v>
      </c>
      <c r="G12" s="1">
        <v>3500000</v>
      </c>
      <c r="H12" s="1">
        <v>100000</v>
      </c>
      <c r="I12" s="1" t="s">
        <v>138</v>
      </c>
    </row>
    <row r="13" spans="1:11" ht="24" customHeight="1" x14ac:dyDescent="0.25">
      <c r="A13" s="1">
        <v>48408</v>
      </c>
      <c r="B13" s="1">
        <v>5312717</v>
      </c>
      <c r="C13" s="6">
        <v>36199</v>
      </c>
      <c r="D13" s="1">
        <f ca="1">IF(
DATE(YEAR(TODAY()),MONTH(C13),DAY(C13))&gt;=TODAY(),
DATE(YEAR(TODAY()),MONTH(C13),DAY(C13))-TODAY(),
DATE(YEAR(TODAY())+1,MONTH(C13),DAY(C13))-TODAY()
)</f>
        <v>291</v>
      </c>
      <c r="E13" s="30">
        <v>45450</v>
      </c>
      <c r="F13" s="1" t="s">
        <v>139</v>
      </c>
      <c r="G13" s="1">
        <v>3000000</v>
      </c>
      <c r="H13" s="1">
        <v>0</v>
      </c>
      <c r="I13" s="1" t="s">
        <v>140</v>
      </c>
    </row>
    <row r="14" spans="1:11" ht="24" customHeight="1" x14ac:dyDescent="0.25">
      <c r="A14" s="1">
        <v>57471</v>
      </c>
      <c r="B14" s="1">
        <v>4979426</v>
      </c>
      <c r="C14" s="6">
        <v>37328</v>
      </c>
      <c r="D14" s="1">
        <f ca="1">IF(
DATE(YEAR(TODAY()),MONTH(C14),DAY(C14))&gt;=TODAY(),
DATE(YEAR(TODAY()),MONTH(C14),DAY(C14))-TODAY(),
DATE(YEAR(TODAY())+1,MONTH(C14),DAY(C14))-TODAY()
)</f>
        <v>324</v>
      </c>
      <c r="E14" s="30">
        <v>46106</v>
      </c>
      <c r="F14" s="1" t="s">
        <v>67</v>
      </c>
      <c r="G14" s="1">
        <v>3300000</v>
      </c>
      <c r="H14" s="1"/>
      <c r="I14" s="1" t="s">
        <v>195</v>
      </c>
    </row>
    <row r="15" spans="1:11" ht="24" customHeight="1" x14ac:dyDescent="0.25">
      <c r="A15" s="1"/>
      <c r="B15" s="1"/>
      <c r="C15" s="1"/>
      <c r="D15" s="1"/>
      <c r="E15" s="30"/>
      <c r="F15" s="1"/>
      <c r="G15" s="1"/>
      <c r="H15" s="1"/>
      <c r="I15" s="1"/>
    </row>
    <row r="16" spans="1:11" ht="24" customHeight="1" x14ac:dyDescent="0.25">
      <c r="A16" s="1"/>
      <c r="B16" s="1"/>
      <c r="C16" s="1"/>
      <c r="D16" s="1"/>
      <c r="E16" s="30"/>
      <c r="F16" s="1"/>
      <c r="G16" s="1"/>
      <c r="H16" s="1"/>
      <c r="I16" s="1"/>
    </row>
    <row r="17" spans="1:9" ht="24" customHeight="1" x14ac:dyDescent="0.25">
      <c r="A17" s="1"/>
      <c r="B17" s="1"/>
      <c r="C17" s="1"/>
      <c r="D17" s="1"/>
      <c r="E17" s="30"/>
      <c r="F17" s="1"/>
      <c r="G17" s="1"/>
      <c r="H17" s="1"/>
      <c r="I17" s="1"/>
    </row>
    <row r="18" spans="1:9" ht="24" customHeight="1" x14ac:dyDescent="0.25">
      <c r="A18" s="1"/>
      <c r="B18" s="1"/>
      <c r="C18" s="1"/>
      <c r="D18" s="1"/>
      <c r="E18" s="30"/>
      <c r="F18" s="1"/>
      <c r="G18" s="1"/>
      <c r="H18" s="1"/>
      <c r="I18" s="1"/>
    </row>
    <row r="19" spans="1:9" ht="24" customHeight="1" x14ac:dyDescent="0.25">
      <c r="A19" s="1"/>
      <c r="B19" s="1"/>
      <c r="C19" s="1"/>
      <c r="D19" s="1"/>
      <c r="E19" s="30"/>
      <c r="F19" s="1"/>
      <c r="G19" s="1"/>
      <c r="H19" s="1"/>
      <c r="I19" s="1"/>
    </row>
    <row r="20" spans="1:9" ht="24" customHeight="1" x14ac:dyDescent="0.25">
      <c r="A20" s="1"/>
      <c r="B20" s="1"/>
      <c r="C20" s="1"/>
      <c r="D20" s="1"/>
      <c r="E20" s="30"/>
      <c r="F20" s="1"/>
      <c r="G20" s="1"/>
      <c r="H20" s="1"/>
      <c r="I20" s="1"/>
    </row>
    <row r="21" spans="1:9" ht="24" customHeight="1" x14ac:dyDescent="0.25">
      <c r="A21" s="1"/>
      <c r="B21" s="1"/>
      <c r="C21" s="1"/>
      <c r="D21" s="1"/>
      <c r="E21" s="30"/>
      <c r="F21" s="1"/>
      <c r="G21" s="1"/>
      <c r="H21" s="1"/>
      <c r="I21" s="1"/>
    </row>
    <row r="22" spans="1:9" ht="24" customHeight="1" x14ac:dyDescent="0.25">
      <c r="A22" s="1"/>
      <c r="B22" s="1"/>
      <c r="C22" s="1"/>
      <c r="D22" s="1"/>
      <c r="E22" s="30"/>
      <c r="F22" s="1"/>
      <c r="G22" s="1"/>
      <c r="H22" s="1"/>
      <c r="I22" s="1"/>
    </row>
    <row r="23" spans="1:9" ht="24" customHeight="1" x14ac:dyDescent="0.25">
      <c r="A23" s="1"/>
      <c r="B23" s="1"/>
      <c r="C23" s="1"/>
      <c r="D23" s="1"/>
      <c r="E23" s="30"/>
      <c r="F23" s="1"/>
      <c r="G23" s="1"/>
      <c r="H23" s="1"/>
      <c r="I23" s="1"/>
    </row>
    <row r="24" spans="1:9" ht="24" customHeight="1" x14ac:dyDescent="0.25">
      <c r="A24" s="1"/>
      <c r="B24" s="1"/>
      <c r="C24" s="1"/>
      <c r="D24" s="1"/>
      <c r="E24" s="30"/>
      <c r="F24" s="1"/>
      <c r="G24" s="1"/>
      <c r="H24" s="1"/>
      <c r="I24" s="1"/>
    </row>
    <row r="25" spans="1:9" ht="24" customHeight="1" x14ac:dyDescent="0.25">
      <c r="A25" s="1"/>
      <c r="B25" s="1"/>
      <c r="C25" s="1"/>
      <c r="D25" s="1"/>
      <c r="E25" s="30"/>
      <c r="F25" s="1"/>
      <c r="G25" s="1"/>
      <c r="H25" s="1"/>
      <c r="I25" s="1"/>
    </row>
    <row r="26" spans="1:9" ht="24" customHeight="1" x14ac:dyDescent="0.25">
      <c r="A26" s="1"/>
      <c r="B26" s="1"/>
      <c r="C26" s="1"/>
      <c r="D26" s="1"/>
      <c r="E26" s="30"/>
      <c r="F26" s="1"/>
      <c r="G26" s="1"/>
      <c r="H26" s="1"/>
      <c r="I26" s="1"/>
    </row>
    <row r="27" spans="1:9" ht="24" customHeight="1" x14ac:dyDescent="0.25">
      <c r="A27" s="1"/>
      <c r="B27" s="1"/>
      <c r="C27" s="1"/>
      <c r="D27" s="1"/>
      <c r="E27" s="30"/>
      <c r="F27" s="1"/>
      <c r="G27" s="1"/>
      <c r="H27" s="1"/>
      <c r="I27" s="1"/>
    </row>
    <row r="28" spans="1:9" ht="24" customHeight="1" x14ac:dyDescent="0.25">
      <c r="A28" s="1"/>
      <c r="B28" s="1"/>
      <c r="C28" s="1"/>
      <c r="D28" s="1"/>
      <c r="E28" s="30"/>
      <c r="F28" s="1"/>
      <c r="G28" s="1"/>
      <c r="H28" s="1"/>
      <c r="I28" s="1"/>
    </row>
    <row r="29" spans="1:9" ht="24" customHeight="1" x14ac:dyDescent="0.25">
      <c r="A29" s="1"/>
      <c r="B29" s="1"/>
      <c r="C29" s="1"/>
      <c r="D29" s="1"/>
      <c r="E29" s="30"/>
      <c r="F29" s="1"/>
      <c r="G29" s="1"/>
      <c r="H29" s="1"/>
      <c r="I29" s="1"/>
    </row>
    <row r="30" spans="1:9" ht="24" customHeight="1" x14ac:dyDescent="0.25">
      <c r="A30" s="1"/>
      <c r="B30" s="1"/>
      <c r="C30" s="1"/>
      <c r="D30" s="1"/>
      <c r="E30" s="30"/>
      <c r="F30" s="1"/>
      <c r="G30" s="1"/>
      <c r="H30" s="1"/>
      <c r="I30" s="1"/>
    </row>
    <row r="31" spans="1:9" ht="24" customHeight="1" x14ac:dyDescent="0.25">
      <c r="A31" s="1"/>
      <c r="B31" s="1"/>
      <c r="C31" s="1"/>
      <c r="D31" s="1"/>
      <c r="E31" s="30"/>
      <c r="F31" s="1"/>
      <c r="G31" s="1"/>
      <c r="H31" s="1"/>
      <c r="I31" s="1"/>
    </row>
    <row r="32" spans="1:9" ht="24" customHeight="1" x14ac:dyDescent="0.25">
      <c r="A32" s="1"/>
      <c r="B32" s="1"/>
      <c r="C32" s="1"/>
      <c r="D32" s="1"/>
      <c r="E32" s="30"/>
      <c r="F32" s="1"/>
      <c r="G32" s="1"/>
      <c r="H32" s="1"/>
      <c r="I32" s="1"/>
    </row>
    <row r="33" spans="1:9" ht="24" customHeight="1" x14ac:dyDescent="0.25">
      <c r="A33" s="1"/>
      <c r="B33" s="1"/>
      <c r="C33" s="1"/>
      <c r="D33" s="1"/>
      <c r="E33" s="30"/>
      <c r="F33" s="1"/>
      <c r="G33" s="1"/>
      <c r="H33" s="1"/>
      <c r="I33" s="1"/>
    </row>
    <row r="34" spans="1:9" ht="24" customHeight="1" x14ac:dyDescent="0.25">
      <c r="A34" s="1"/>
      <c r="B34" s="1"/>
      <c r="C34" s="1"/>
      <c r="D34" s="1"/>
      <c r="E34" s="30"/>
      <c r="F34" s="1"/>
      <c r="G34" s="1"/>
      <c r="H34" s="1"/>
      <c r="I34" s="1"/>
    </row>
    <row r="35" spans="1:9" ht="24" customHeight="1" x14ac:dyDescent="0.25">
      <c r="A35" s="1"/>
      <c r="B35" s="1"/>
      <c r="C35" s="1"/>
      <c r="D35" s="1"/>
      <c r="E35" s="30"/>
      <c r="F35" s="1"/>
      <c r="G35" s="1"/>
      <c r="H35" s="1"/>
      <c r="I35" s="1"/>
    </row>
    <row r="36" spans="1:9" ht="24" customHeight="1" x14ac:dyDescent="0.25">
      <c r="A36" s="1"/>
      <c r="B36" s="1"/>
      <c r="C36" s="1"/>
      <c r="D36" s="1"/>
      <c r="E36" s="30"/>
      <c r="F36" s="1"/>
      <c r="G36" s="1"/>
      <c r="H36" s="1"/>
      <c r="I36" s="1"/>
    </row>
    <row r="37" spans="1:9" ht="24" customHeight="1" x14ac:dyDescent="0.25">
      <c r="A37" s="1"/>
      <c r="B37" s="1"/>
      <c r="C37" s="1"/>
      <c r="D37" s="1"/>
      <c r="E37" s="30"/>
      <c r="F37" s="1"/>
      <c r="G37" s="1"/>
      <c r="H37" s="1"/>
      <c r="I37" s="1"/>
    </row>
    <row r="38" spans="1:9" ht="24" customHeight="1" x14ac:dyDescent="0.25">
      <c r="A38" s="1"/>
      <c r="B38" s="1"/>
      <c r="C38" s="1"/>
      <c r="D38" s="1"/>
      <c r="E38" s="30"/>
      <c r="F38" s="1"/>
      <c r="G38" s="1"/>
      <c r="H38" s="1"/>
      <c r="I38" s="1"/>
    </row>
    <row r="39" spans="1:9" ht="24" customHeight="1" x14ac:dyDescent="0.25">
      <c r="A39" s="1"/>
      <c r="B39" s="1"/>
      <c r="C39" s="1"/>
      <c r="D39" s="1"/>
      <c r="E39" s="30"/>
      <c r="F39" s="1"/>
      <c r="G39" s="1"/>
      <c r="H39" s="1"/>
      <c r="I39" s="1"/>
    </row>
    <row r="40" spans="1:9" ht="24" customHeight="1" x14ac:dyDescent="0.25">
      <c r="A40" s="1"/>
      <c r="B40" s="1"/>
      <c r="C40" s="1"/>
      <c r="D40" s="1"/>
      <c r="E40" s="30"/>
      <c r="F40" s="1"/>
      <c r="G40" s="1"/>
      <c r="H40" s="1"/>
      <c r="I40" s="1"/>
    </row>
    <row r="41" spans="1:9" ht="24" customHeight="1" x14ac:dyDescent="0.25">
      <c r="A41" s="1"/>
      <c r="B41" s="1"/>
      <c r="C41" s="1"/>
      <c r="D41" s="1"/>
      <c r="E41" s="30"/>
      <c r="F41" s="1"/>
      <c r="G41" s="1"/>
      <c r="H41" s="1"/>
      <c r="I41" s="1"/>
    </row>
    <row r="42" spans="1:9" ht="24" customHeight="1" x14ac:dyDescent="0.25">
      <c r="A42" s="1"/>
      <c r="B42" s="1"/>
      <c r="C42" s="1"/>
      <c r="D42" s="1"/>
      <c r="E42" s="30"/>
      <c r="F42" s="1"/>
      <c r="G42" s="1"/>
      <c r="H42" s="1"/>
      <c r="I42" s="1"/>
    </row>
    <row r="43" spans="1:9" ht="24" customHeight="1" x14ac:dyDescent="0.25">
      <c r="A43" s="1"/>
      <c r="B43" s="1"/>
      <c r="C43" s="1"/>
      <c r="D43" s="1"/>
      <c r="E43" s="30"/>
      <c r="F43" s="1"/>
      <c r="G43" s="1"/>
      <c r="H43" s="1"/>
      <c r="I43" s="1"/>
    </row>
    <row r="44" spans="1:9" ht="24" customHeight="1" x14ac:dyDescent="0.25">
      <c r="A44" s="1"/>
      <c r="B44" s="1"/>
      <c r="C44" s="1"/>
      <c r="D44" s="1"/>
      <c r="E44" s="30"/>
      <c r="F44" s="1"/>
      <c r="G44" s="1"/>
      <c r="H44" s="1"/>
      <c r="I44" s="1"/>
    </row>
    <row r="45" spans="1:9" ht="24" customHeight="1" x14ac:dyDescent="0.25">
      <c r="A45" s="1"/>
      <c r="B45" s="1"/>
      <c r="C45" s="1"/>
      <c r="D45" s="1"/>
      <c r="E45" s="30"/>
      <c r="F45" s="1"/>
      <c r="G45" s="1"/>
      <c r="H45" s="1"/>
      <c r="I45" s="1"/>
    </row>
    <row r="46" spans="1:9" ht="24" customHeight="1" x14ac:dyDescent="0.25">
      <c r="A46" s="1"/>
      <c r="B46" s="1"/>
      <c r="C46" s="1"/>
      <c r="D46" s="1"/>
      <c r="E46" s="30"/>
      <c r="F46" s="1"/>
      <c r="G46" s="1"/>
      <c r="H46" s="1"/>
      <c r="I46" s="1"/>
    </row>
    <row r="47" spans="1:9" ht="24" customHeight="1" x14ac:dyDescent="0.25">
      <c r="A47" s="1"/>
      <c r="B47" s="1"/>
      <c r="C47" s="1"/>
      <c r="D47" s="1"/>
      <c r="E47" s="30"/>
      <c r="F47" s="1"/>
      <c r="G47" s="1"/>
      <c r="H47" s="1"/>
      <c r="I47" s="1"/>
    </row>
    <row r="48" spans="1:9" ht="24" customHeight="1" x14ac:dyDescent="0.25">
      <c r="A48" s="1"/>
      <c r="B48" s="1"/>
      <c r="C48" s="1"/>
      <c r="D48" s="1"/>
      <c r="E48" s="30"/>
      <c r="F48" s="1"/>
      <c r="G48" s="1"/>
      <c r="H48" s="1"/>
      <c r="I48" s="1"/>
    </row>
    <row r="49" spans="1:9" ht="24" customHeight="1" x14ac:dyDescent="0.25">
      <c r="A49" s="1"/>
      <c r="B49" s="1"/>
      <c r="C49" s="1"/>
      <c r="D49" s="1"/>
      <c r="E49" s="30"/>
      <c r="F49" s="1"/>
      <c r="G49" s="1"/>
      <c r="H49" s="1"/>
      <c r="I49" s="1"/>
    </row>
    <row r="50" spans="1:9" ht="24" customHeight="1" x14ac:dyDescent="0.25">
      <c r="A50" s="1"/>
      <c r="B50" s="1"/>
      <c r="C50" s="1"/>
      <c r="D50" s="1"/>
      <c r="E50" s="30"/>
      <c r="F50" s="1"/>
      <c r="G50" s="1"/>
      <c r="H50" s="1"/>
      <c r="I50" s="1"/>
    </row>
    <row r="51" spans="1:9" ht="24" customHeight="1" x14ac:dyDescent="0.25">
      <c r="A51" s="1"/>
      <c r="B51" s="1"/>
      <c r="C51" s="1"/>
      <c r="D51" s="1"/>
      <c r="E51" s="30"/>
      <c r="F51" s="1"/>
      <c r="G51" s="1"/>
      <c r="H51" s="1"/>
      <c r="I51" s="1"/>
    </row>
    <row r="52" spans="1:9" ht="24" customHeight="1" x14ac:dyDescent="0.25">
      <c r="A52" s="1"/>
      <c r="B52" s="1"/>
      <c r="C52" s="1"/>
      <c r="D52" s="1"/>
      <c r="E52" s="30"/>
      <c r="F52" s="1"/>
      <c r="G52" s="1"/>
      <c r="H52" s="1"/>
      <c r="I52" s="1"/>
    </row>
    <row r="53" spans="1:9" ht="24" customHeight="1" x14ac:dyDescent="0.25">
      <c r="A53" s="1"/>
      <c r="B53" s="1"/>
      <c r="C53" s="1"/>
      <c r="D53" s="1"/>
      <c r="E53" s="30"/>
      <c r="F53" s="1"/>
      <c r="G53" s="1"/>
      <c r="H53" s="1"/>
      <c r="I53" s="1"/>
    </row>
    <row r="54" spans="1:9" ht="24" customHeight="1" x14ac:dyDescent="0.25">
      <c r="A54" s="1"/>
      <c r="B54" s="1"/>
      <c r="C54" s="1"/>
      <c r="D54" s="1"/>
      <c r="E54" s="30"/>
      <c r="F54" s="1"/>
      <c r="G54" s="1"/>
      <c r="H54" s="1"/>
      <c r="I54" s="1"/>
    </row>
    <row r="55" spans="1:9" ht="24" customHeight="1" x14ac:dyDescent="0.25">
      <c r="A55" s="1"/>
      <c r="B55" s="1"/>
      <c r="C55" s="1"/>
      <c r="D55" s="1"/>
      <c r="E55" s="30"/>
      <c r="F55" s="1"/>
      <c r="G55" s="1"/>
      <c r="H55" s="1"/>
      <c r="I55" s="1"/>
    </row>
    <row r="56" spans="1:9" ht="24" customHeight="1" x14ac:dyDescent="0.25">
      <c r="A56" s="1"/>
      <c r="B56" s="1"/>
      <c r="C56" s="1"/>
      <c r="D56" s="1"/>
      <c r="E56" s="30"/>
      <c r="F56" s="1"/>
      <c r="G56" s="1"/>
      <c r="H56" s="1"/>
      <c r="I56" s="1"/>
    </row>
    <row r="57" spans="1:9" ht="24" customHeight="1" x14ac:dyDescent="0.25">
      <c r="A57" s="1"/>
      <c r="B57" s="1"/>
      <c r="C57" s="1"/>
      <c r="D57" s="1"/>
      <c r="E57" s="30"/>
      <c r="F57" s="1"/>
      <c r="G57" s="1"/>
      <c r="H57" s="1"/>
      <c r="I57" s="1"/>
    </row>
    <row r="58" spans="1:9" ht="24" customHeight="1" x14ac:dyDescent="0.25">
      <c r="A58" s="1"/>
      <c r="B58" s="1"/>
      <c r="C58" s="1"/>
      <c r="D58" s="1"/>
      <c r="E58" s="30"/>
      <c r="F58" s="1"/>
      <c r="G58" s="1"/>
      <c r="H58" s="1"/>
      <c r="I58" s="1"/>
    </row>
    <row r="59" spans="1:9" ht="24" customHeight="1" x14ac:dyDescent="0.25">
      <c r="A59" s="1"/>
      <c r="B59" s="1"/>
      <c r="C59" s="1"/>
      <c r="D59" s="1"/>
      <c r="E59" s="30"/>
      <c r="F59" s="1"/>
      <c r="G59" s="1"/>
      <c r="H59" s="1"/>
      <c r="I59" s="1"/>
    </row>
    <row r="60" spans="1:9" ht="24" customHeight="1" x14ac:dyDescent="0.25">
      <c r="A60" s="1"/>
      <c r="B60" s="1"/>
      <c r="C60" s="1"/>
      <c r="D60" s="1"/>
      <c r="E60" s="30"/>
      <c r="F60" s="1"/>
      <c r="G60" s="1"/>
      <c r="H60" s="1"/>
      <c r="I60" s="1"/>
    </row>
    <row r="61" spans="1:9" ht="24" customHeight="1" x14ac:dyDescent="0.25">
      <c r="A61" s="1"/>
      <c r="B61" s="1"/>
      <c r="C61" s="1"/>
      <c r="D61" s="1"/>
      <c r="E61" s="30"/>
      <c r="F61" s="1"/>
      <c r="G61" s="1"/>
      <c r="H61" s="1"/>
      <c r="I61" s="1"/>
    </row>
  </sheetData>
  <mergeCells count="3">
    <mergeCell ref="A1:F3"/>
    <mergeCell ref="A4:F4"/>
    <mergeCell ref="C5:D5"/>
  </mergeCells>
  <pageMargins left="0.7" right="0.7" top="0.75" bottom="0.75" header="0.3" footer="0.3"/>
  <pageSetup scale="33" orientation="landscape" r:id="rId1"/>
  <drawing r:id="rId2"/>
  <tableParts count="1"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theme="8" tint="0.39997558519241921"/>
    <pageSetUpPr fitToPage="1"/>
  </sheetPr>
  <dimension ref="A1:K59"/>
  <sheetViews>
    <sheetView zoomScale="70" zoomScaleNormal="70" workbookViewId="0">
      <selection activeCell="I8" sqref="E8:I8"/>
    </sheetView>
  </sheetViews>
  <sheetFormatPr baseColWidth="10" defaultColWidth="11.42578125" defaultRowHeight="15" x14ac:dyDescent="0.25"/>
  <cols>
    <col min="1" max="1" width="25.140625" customWidth="1"/>
    <col min="2" max="2" width="14.42578125" customWidth="1"/>
    <col min="3" max="4" width="57" customWidth="1"/>
    <col min="5" max="5" width="53.7109375" bestFit="1" customWidth="1"/>
    <col min="6" max="6" width="43.28515625" customWidth="1"/>
    <col min="7" max="7" width="22" customWidth="1"/>
    <col min="8" max="8" width="20.42578125" customWidth="1"/>
    <col min="9" max="9" width="48.140625" customWidth="1"/>
    <col min="10" max="10" width="27.7109375" style="18" customWidth="1"/>
    <col min="11" max="11" width="11.42578125" style="18" customWidth="1"/>
    <col min="12" max="16384" width="11.42578125" style="18"/>
  </cols>
  <sheetData>
    <row r="1" spans="1:11" ht="56.25" customHeight="1" x14ac:dyDescent="0.25">
      <c r="A1" s="49" t="s">
        <v>0</v>
      </c>
      <c r="B1" s="44"/>
      <c r="C1" s="44"/>
      <c r="D1" s="44"/>
      <c r="E1" s="44"/>
      <c r="F1" s="44"/>
      <c r="G1" s="18"/>
      <c r="H1" s="18"/>
      <c r="I1" s="18"/>
    </row>
    <row r="2" spans="1:11" ht="78.75" customHeight="1" x14ac:dyDescent="0.25">
      <c r="A2" s="44"/>
      <c r="B2" s="44"/>
      <c r="C2" s="44"/>
      <c r="D2" s="44"/>
      <c r="E2" s="44"/>
      <c r="F2" s="44"/>
      <c r="G2" s="18"/>
      <c r="H2" s="9"/>
      <c r="I2" s="18"/>
    </row>
    <row r="3" spans="1:11" ht="27" customHeight="1" x14ac:dyDescent="0.25">
      <c r="A3" s="44"/>
      <c r="B3" s="44"/>
      <c r="C3" s="44"/>
      <c r="D3" s="44"/>
      <c r="E3" s="44"/>
      <c r="F3" s="44"/>
      <c r="G3" s="25"/>
      <c r="H3" s="25"/>
      <c r="I3" s="25"/>
      <c r="J3" s="25"/>
      <c r="K3" s="25"/>
    </row>
    <row r="4" spans="1:11" ht="27" customHeight="1" x14ac:dyDescent="0.25">
      <c r="A4" s="48" t="s">
        <v>153</v>
      </c>
      <c r="B4" s="44"/>
      <c r="C4" s="44"/>
      <c r="D4" s="44"/>
      <c r="E4" s="44"/>
      <c r="F4" s="44"/>
      <c r="G4" s="25"/>
      <c r="H4" s="25"/>
      <c r="I4" s="25"/>
      <c r="J4" s="25"/>
      <c r="K4" s="25"/>
    </row>
    <row r="5" spans="1:11" ht="28.5" customHeight="1" x14ac:dyDescent="0.45">
      <c r="A5" s="10"/>
      <c r="B5" s="10"/>
      <c r="C5" s="32" t="s">
        <v>2</v>
      </c>
      <c r="D5" s="32"/>
      <c r="E5" s="17">
        <f ca="1">NOW()</f>
        <v>46135.478733912038</v>
      </c>
      <c r="F5" s="17"/>
      <c r="G5" s="15"/>
      <c r="H5" s="18"/>
      <c r="I5" s="18"/>
      <c r="J5" s="15"/>
      <c r="K5" s="2"/>
    </row>
    <row r="6" spans="1:11" ht="24" customHeight="1" x14ac:dyDescent="0.25">
      <c r="A6" s="1" t="s">
        <v>3</v>
      </c>
      <c r="B6" s="1" t="s">
        <v>4</v>
      </c>
      <c r="C6" s="1" t="s">
        <v>5</v>
      </c>
      <c r="D6" s="1" t="s">
        <v>6</v>
      </c>
      <c r="E6" s="1" t="s">
        <v>7</v>
      </c>
      <c r="F6" s="1" t="s">
        <v>8</v>
      </c>
      <c r="G6" s="33" t="s">
        <v>9</v>
      </c>
      <c r="H6" s="33" t="s">
        <v>10</v>
      </c>
      <c r="I6" s="1" t="s">
        <v>154</v>
      </c>
    </row>
    <row r="7" spans="1:11" ht="24" customHeight="1" x14ac:dyDescent="0.25">
      <c r="A7" s="1">
        <v>17362</v>
      </c>
      <c r="B7" s="1">
        <v>4573774</v>
      </c>
      <c r="C7" s="6">
        <v>30771</v>
      </c>
      <c r="D7" s="1">
        <f t="shared" ref="D7:D16" ca="1" si="0">IF(
DATE(YEAR(TODAY()),MONTH(C7),DAY(C7))&gt;=TODAY(),
DATE(YEAR(TODAY()),MONTH(C7),DAY(C7))-TODAY(),
DATE(YEAR(TODAY())+1,MONTH(C7),DAY(C7))-TODAY()
)</f>
        <v>341</v>
      </c>
      <c r="E7" s="30">
        <v>41493</v>
      </c>
      <c r="F7" s="1" t="s">
        <v>157</v>
      </c>
      <c r="G7" s="33">
        <v>3500000</v>
      </c>
      <c r="H7" s="33">
        <v>800000</v>
      </c>
      <c r="I7" s="1" t="s">
        <v>158</v>
      </c>
    </row>
    <row r="8" spans="1:11" ht="24" customHeight="1" x14ac:dyDescent="0.25">
      <c r="A8" s="1">
        <v>45770</v>
      </c>
      <c r="B8" s="1">
        <v>4668773</v>
      </c>
      <c r="C8" s="6">
        <v>32632</v>
      </c>
      <c r="D8" s="1">
        <f t="shared" ca="1" si="0"/>
        <v>11</v>
      </c>
      <c r="E8" s="30">
        <v>43686</v>
      </c>
      <c r="F8" s="1" t="s">
        <v>159</v>
      </c>
      <c r="G8" s="33">
        <v>3000000</v>
      </c>
      <c r="H8" s="33">
        <v>500000</v>
      </c>
      <c r="I8" s="1" t="s">
        <v>160</v>
      </c>
    </row>
    <row r="9" spans="1:11" ht="24" customHeight="1" x14ac:dyDescent="0.25">
      <c r="A9" s="1">
        <v>55889</v>
      </c>
      <c r="B9" s="1">
        <v>4356238</v>
      </c>
      <c r="C9" s="6">
        <v>34116</v>
      </c>
      <c r="D9" s="1">
        <f t="shared" ca="1" si="0"/>
        <v>34</v>
      </c>
      <c r="E9" s="30">
        <v>45677</v>
      </c>
      <c r="F9" s="1" t="s">
        <v>161</v>
      </c>
      <c r="G9" s="33">
        <v>3000000</v>
      </c>
      <c r="H9" s="33">
        <v>0</v>
      </c>
      <c r="I9" s="1" t="s">
        <v>162</v>
      </c>
    </row>
    <row r="10" spans="1:11" ht="24" customHeight="1" x14ac:dyDescent="0.25">
      <c r="A10" s="1">
        <v>34319</v>
      </c>
      <c r="B10" s="1">
        <v>5614848</v>
      </c>
      <c r="C10" s="6">
        <v>33756</v>
      </c>
      <c r="D10" s="1">
        <f t="shared" ca="1" si="0"/>
        <v>39</v>
      </c>
      <c r="E10" s="30">
        <v>42310</v>
      </c>
      <c r="F10" s="1" t="s">
        <v>14</v>
      </c>
      <c r="G10" s="33">
        <v>3300000</v>
      </c>
      <c r="H10" s="33">
        <v>300000</v>
      </c>
      <c r="I10" s="1" t="s">
        <v>163</v>
      </c>
    </row>
    <row r="11" spans="1:11" ht="24" customHeight="1" x14ac:dyDescent="0.25">
      <c r="A11" s="1">
        <v>53165</v>
      </c>
      <c r="B11" s="1">
        <v>4700133</v>
      </c>
      <c r="C11" s="6">
        <v>36313</v>
      </c>
      <c r="D11" s="1">
        <f t="shared" ca="1" si="0"/>
        <v>40</v>
      </c>
      <c r="E11" s="30">
        <v>45068</v>
      </c>
      <c r="F11" s="1" t="s">
        <v>164</v>
      </c>
      <c r="G11" s="33">
        <v>3000000</v>
      </c>
      <c r="H11" s="33">
        <v>200000</v>
      </c>
      <c r="I11" s="1" t="s">
        <v>165</v>
      </c>
    </row>
    <row r="12" spans="1:11" ht="24" customHeight="1" x14ac:dyDescent="0.25">
      <c r="A12" s="1">
        <v>49623</v>
      </c>
      <c r="B12" s="1">
        <v>5702792</v>
      </c>
      <c r="C12" s="6">
        <v>37054</v>
      </c>
      <c r="D12" s="1">
        <f t="shared" ca="1" si="0"/>
        <v>50</v>
      </c>
      <c r="E12" s="30">
        <v>44456</v>
      </c>
      <c r="F12" s="1" t="s">
        <v>57</v>
      </c>
      <c r="G12" s="33">
        <v>3500000</v>
      </c>
      <c r="H12" s="33">
        <v>0</v>
      </c>
      <c r="I12" s="1" t="s">
        <v>166</v>
      </c>
    </row>
    <row r="13" spans="1:11" ht="24" customHeight="1" x14ac:dyDescent="0.25">
      <c r="A13" s="1">
        <v>24263</v>
      </c>
      <c r="B13" s="1">
        <v>3573535</v>
      </c>
      <c r="C13" s="6">
        <v>28313</v>
      </c>
      <c r="D13" s="1">
        <f t="shared" ca="1" si="0"/>
        <v>75</v>
      </c>
      <c r="E13" s="30">
        <v>41187</v>
      </c>
      <c r="F13" s="1" t="s">
        <v>28</v>
      </c>
      <c r="G13" s="33">
        <v>3500000</v>
      </c>
      <c r="H13" s="33">
        <v>0</v>
      </c>
      <c r="I13" s="1" t="s">
        <v>167</v>
      </c>
    </row>
    <row r="14" spans="1:11" ht="24" customHeight="1" x14ac:dyDescent="0.25">
      <c r="A14" s="1">
        <v>56055</v>
      </c>
      <c r="B14" s="1">
        <v>5228029</v>
      </c>
      <c r="C14" s="6">
        <v>32704</v>
      </c>
      <c r="D14" s="1">
        <f t="shared" ca="1" si="0"/>
        <v>83</v>
      </c>
      <c r="E14" s="30">
        <v>45734</v>
      </c>
      <c r="F14" s="1" t="s">
        <v>67</v>
      </c>
      <c r="G14" s="33">
        <v>3300000</v>
      </c>
      <c r="H14" s="33">
        <v>300000</v>
      </c>
      <c r="I14" s="1" t="s">
        <v>168</v>
      </c>
    </row>
    <row r="15" spans="1:11" ht="24" customHeight="1" x14ac:dyDescent="0.25">
      <c r="A15" s="1">
        <v>56607</v>
      </c>
      <c r="B15" s="1">
        <v>5359351</v>
      </c>
      <c r="C15" s="6">
        <v>37454</v>
      </c>
      <c r="D15" s="1">
        <f t="shared" ca="1" si="0"/>
        <v>85</v>
      </c>
      <c r="E15" s="30">
        <v>45901</v>
      </c>
      <c r="F15" s="1" t="s">
        <v>67</v>
      </c>
      <c r="G15" s="33">
        <v>3300000</v>
      </c>
      <c r="H15" s="33">
        <v>0</v>
      </c>
      <c r="I15" s="1" t="s">
        <v>169</v>
      </c>
    </row>
    <row r="16" spans="1:11" ht="24" customHeight="1" x14ac:dyDescent="0.25">
      <c r="A16" s="1">
        <v>42936</v>
      </c>
      <c r="B16" s="1">
        <v>5428938</v>
      </c>
      <c r="C16" s="6">
        <v>34179</v>
      </c>
      <c r="D16" s="1">
        <f t="shared" ca="1" si="0"/>
        <v>97</v>
      </c>
      <c r="E16" s="30">
        <v>45118</v>
      </c>
      <c r="F16" s="1" t="s">
        <v>67</v>
      </c>
      <c r="G16" s="33">
        <v>3300000</v>
      </c>
      <c r="H16" s="33">
        <v>300000</v>
      </c>
      <c r="I16" s="1" t="s">
        <v>170</v>
      </c>
    </row>
    <row r="17" spans="1:9" ht="24" customHeight="1" x14ac:dyDescent="0.25">
      <c r="A17" s="1">
        <v>2800</v>
      </c>
      <c r="B17" s="1">
        <v>3563167</v>
      </c>
      <c r="C17" s="6">
        <v>29511</v>
      </c>
      <c r="D17" s="1">
        <f ca="1">IF(
DATE(YEAR(TODAY()),MONTH(C17),DAY(C17))&gt;=TODAY(),
DATE(YEAR(TODAY()),MONTH(C17),DAY(C17))-TODAY(),
DATE(YEAR(TODAY())+1,MONTH(C17),DAY(C17))-TODAY()
)</f>
        <v>177</v>
      </c>
      <c r="E17" s="30">
        <v>37986</v>
      </c>
      <c r="F17" s="1" t="s">
        <v>171</v>
      </c>
      <c r="G17" s="33">
        <v>3200000</v>
      </c>
      <c r="H17" s="33">
        <v>600000</v>
      </c>
      <c r="I17" s="1" t="s">
        <v>172</v>
      </c>
    </row>
    <row r="18" spans="1:9" ht="24" customHeight="1" x14ac:dyDescent="0.25">
      <c r="A18" s="1">
        <v>50476</v>
      </c>
      <c r="B18" s="1">
        <v>5536059</v>
      </c>
      <c r="C18" s="6">
        <v>33628</v>
      </c>
      <c r="D18" s="1">
        <f ca="1">IF(
DATE(YEAR(TODAY()),MONTH(C18),DAY(C18))&gt;=TODAY(),
DATE(YEAR(TODAY()),MONTH(C18),DAY(C18))-TODAY(),
DATE(YEAR(TODAY())+1,MONTH(C18),DAY(C18))-TODAY()
)</f>
        <v>277</v>
      </c>
      <c r="E18" s="30">
        <v>45240</v>
      </c>
      <c r="F18" s="1" t="s">
        <v>79</v>
      </c>
      <c r="G18" s="33">
        <v>3300000</v>
      </c>
      <c r="H18" s="33">
        <v>300000</v>
      </c>
      <c r="I18" s="1" t="s">
        <v>173</v>
      </c>
    </row>
    <row r="19" spans="1:9" ht="24" customHeight="1" x14ac:dyDescent="0.25">
      <c r="A19" s="1">
        <v>38390</v>
      </c>
      <c r="B19" s="1">
        <v>4328485</v>
      </c>
      <c r="C19" s="6">
        <v>31845</v>
      </c>
      <c r="D19" s="1">
        <f ca="1">IF(
  DATE(YEAR(TODAY()),MONTH(C19),DAY(C19))&gt;=TODAY(),
  DATE(YEAR(TODAY()),MONTH(C19),DAY(C19))-TODAY(),
  DATE(YEAR(TODAY())+1,MONTH(C19),DAY(C19))-TODAY()
)</f>
        <v>320</v>
      </c>
      <c r="E19" s="30">
        <v>42653</v>
      </c>
      <c r="F19" s="1" t="s">
        <v>49</v>
      </c>
      <c r="G19" s="33">
        <v>4500000</v>
      </c>
      <c r="H19" s="33">
        <v>2000000</v>
      </c>
      <c r="I19" s="1" t="s">
        <v>155</v>
      </c>
    </row>
    <row r="20" spans="1:9" ht="24" customHeight="1" x14ac:dyDescent="0.25">
      <c r="A20" s="1">
        <v>23238</v>
      </c>
      <c r="B20" s="1">
        <v>3974566</v>
      </c>
      <c r="C20" s="6">
        <v>30021</v>
      </c>
      <c r="D20" s="1">
        <f ca="1">IF(
DATE(YEAR(TODAY()),MONTH(C20),DAY(C20))&gt;=TODAY(),
DATE(YEAR(TODAY()),MONTH(C20),DAY(C20))-TODAY(),
DATE(YEAR(TODAY())+1,MONTH(C20),DAY(C20))-TODAY()
)</f>
        <v>322</v>
      </c>
      <c r="E20" s="30">
        <v>40940</v>
      </c>
      <c r="F20" s="1" t="s">
        <v>32</v>
      </c>
      <c r="G20" s="33">
        <v>3800000</v>
      </c>
      <c r="H20" s="33">
        <v>0</v>
      </c>
      <c r="I20" s="1" t="s">
        <v>156</v>
      </c>
    </row>
    <row r="21" spans="1:9" ht="24" customHeight="1" x14ac:dyDescent="0.25">
      <c r="A21" s="1"/>
      <c r="B21" s="1"/>
      <c r="C21" s="1"/>
      <c r="D21" s="1"/>
      <c r="E21" s="30"/>
      <c r="F21" s="1"/>
      <c r="G21" s="33"/>
      <c r="H21" s="33"/>
      <c r="I21" s="1"/>
    </row>
    <row r="22" spans="1:9" ht="24" customHeight="1" x14ac:dyDescent="0.25">
      <c r="A22" s="1"/>
      <c r="B22" s="1"/>
      <c r="C22" s="1"/>
      <c r="D22" s="1"/>
      <c r="E22" s="30"/>
      <c r="F22" s="1"/>
      <c r="G22" s="1"/>
      <c r="H22" s="1"/>
      <c r="I22" s="1"/>
    </row>
    <row r="23" spans="1:9" ht="24" customHeight="1" x14ac:dyDescent="0.25">
      <c r="A23" s="1"/>
      <c r="B23" s="1"/>
      <c r="C23" s="1"/>
      <c r="D23" s="1"/>
      <c r="E23" s="30"/>
      <c r="F23" s="1"/>
      <c r="G23" s="1"/>
      <c r="H23" s="1"/>
      <c r="I23" s="1"/>
    </row>
    <row r="24" spans="1:9" ht="24" customHeight="1" x14ac:dyDescent="0.25">
      <c r="A24" s="1"/>
      <c r="B24" s="1"/>
      <c r="C24" s="1"/>
      <c r="D24" s="1"/>
      <c r="E24" s="30"/>
      <c r="F24" s="1"/>
      <c r="G24" s="1"/>
      <c r="H24" s="1"/>
      <c r="I24" s="1"/>
    </row>
    <row r="25" spans="1:9" ht="24" customHeight="1" x14ac:dyDescent="0.25">
      <c r="A25" s="1"/>
      <c r="B25" s="1"/>
      <c r="C25" s="1"/>
      <c r="D25" s="1"/>
      <c r="E25" s="30"/>
      <c r="F25" s="1"/>
      <c r="G25" s="1"/>
      <c r="H25" s="1"/>
      <c r="I25" s="1"/>
    </row>
    <row r="26" spans="1:9" ht="24" customHeight="1" x14ac:dyDescent="0.25">
      <c r="A26" s="1"/>
      <c r="B26" s="1"/>
      <c r="C26" s="1"/>
      <c r="D26" s="1"/>
      <c r="E26" s="30"/>
      <c r="F26" s="1"/>
      <c r="G26" s="1"/>
      <c r="H26" s="1"/>
      <c r="I26" s="1"/>
    </row>
    <row r="27" spans="1:9" ht="24" customHeight="1" x14ac:dyDescent="0.25">
      <c r="A27" s="1"/>
      <c r="B27" s="1"/>
      <c r="C27" s="1"/>
      <c r="D27" s="1"/>
      <c r="E27" s="30"/>
      <c r="F27" s="1"/>
      <c r="G27" s="1"/>
      <c r="H27" s="1"/>
      <c r="I27" s="1"/>
    </row>
    <row r="28" spans="1:9" ht="24" customHeight="1" x14ac:dyDescent="0.25">
      <c r="A28" s="1"/>
      <c r="B28" s="1"/>
      <c r="C28" s="1"/>
      <c r="D28" s="1"/>
      <c r="E28" s="30"/>
      <c r="F28" s="1"/>
      <c r="G28" s="1"/>
      <c r="H28" s="1"/>
      <c r="I28" s="1"/>
    </row>
    <row r="29" spans="1:9" ht="24" customHeight="1" x14ac:dyDescent="0.25">
      <c r="A29" s="1"/>
      <c r="B29" s="1"/>
      <c r="C29" s="1"/>
      <c r="D29" s="1"/>
      <c r="E29" s="30"/>
      <c r="F29" s="1"/>
      <c r="G29" s="1"/>
      <c r="H29" s="1"/>
      <c r="I29" s="1"/>
    </row>
    <row r="30" spans="1:9" ht="24" customHeight="1" x14ac:dyDescent="0.25">
      <c r="A30" s="1"/>
      <c r="B30" s="1"/>
      <c r="C30" s="1"/>
      <c r="D30" s="1"/>
      <c r="E30" s="30"/>
      <c r="F30" s="1"/>
      <c r="G30" s="1"/>
      <c r="H30" s="1"/>
      <c r="I30" s="1"/>
    </row>
    <row r="31" spans="1:9" ht="24" customHeight="1" x14ac:dyDescent="0.25">
      <c r="A31" s="1"/>
      <c r="B31" s="1"/>
      <c r="C31" s="1"/>
      <c r="D31" s="1"/>
      <c r="E31" s="30"/>
      <c r="F31" s="1"/>
      <c r="G31" s="1"/>
      <c r="H31" s="1"/>
      <c r="I31" s="1"/>
    </row>
    <row r="32" spans="1:9" ht="24" customHeight="1" x14ac:dyDescent="0.25">
      <c r="A32" s="1"/>
      <c r="B32" s="1"/>
      <c r="C32" s="1"/>
      <c r="D32" s="1"/>
      <c r="E32" s="30"/>
      <c r="F32" s="1"/>
      <c r="G32" s="1"/>
      <c r="H32" s="1"/>
      <c r="I32" s="1"/>
    </row>
    <row r="33" spans="1:9" ht="24" customHeight="1" x14ac:dyDescent="0.25">
      <c r="A33" s="1"/>
      <c r="B33" s="1"/>
      <c r="C33" s="1"/>
      <c r="D33" s="1"/>
      <c r="E33" s="30"/>
      <c r="F33" s="1"/>
      <c r="G33" s="1"/>
      <c r="H33" s="1"/>
      <c r="I33" s="1"/>
    </row>
    <row r="34" spans="1:9" ht="24" customHeight="1" x14ac:dyDescent="0.25">
      <c r="A34" s="1"/>
      <c r="B34" s="1"/>
      <c r="C34" s="1"/>
      <c r="D34" s="1"/>
      <c r="E34" s="30"/>
      <c r="F34" s="1"/>
      <c r="G34" s="1"/>
      <c r="H34" s="1"/>
      <c r="I34" s="1"/>
    </row>
    <row r="35" spans="1:9" ht="24" customHeight="1" x14ac:dyDescent="0.25">
      <c r="A35" s="1"/>
      <c r="B35" s="1"/>
      <c r="C35" s="1"/>
      <c r="D35" s="1"/>
      <c r="E35" s="30"/>
      <c r="F35" s="1"/>
      <c r="G35" s="1"/>
      <c r="H35" s="1"/>
      <c r="I35" s="1"/>
    </row>
    <row r="36" spans="1:9" ht="24" customHeight="1" x14ac:dyDescent="0.25">
      <c r="A36" s="1"/>
      <c r="B36" s="1"/>
      <c r="C36" s="1"/>
      <c r="D36" s="1"/>
      <c r="E36" s="30"/>
      <c r="F36" s="1"/>
      <c r="G36" s="1"/>
      <c r="H36" s="1"/>
      <c r="I36" s="1"/>
    </row>
    <row r="37" spans="1:9" ht="24" customHeight="1" x14ac:dyDescent="0.25">
      <c r="A37" s="1"/>
      <c r="B37" s="1"/>
      <c r="C37" s="1"/>
      <c r="D37" s="1"/>
      <c r="E37" s="30"/>
      <c r="F37" s="1"/>
      <c r="G37" s="1"/>
      <c r="H37" s="1"/>
      <c r="I37" s="1"/>
    </row>
    <row r="38" spans="1:9" ht="24" customHeight="1" x14ac:dyDescent="0.25">
      <c r="A38" s="1"/>
      <c r="B38" s="1"/>
      <c r="C38" s="1"/>
      <c r="D38" s="1"/>
      <c r="E38" s="30"/>
      <c r="F38" s="1"/>
      <c r="G38" s="1"/>
      <c r="H38" s="1"/>
      <c r="I38" s="1"/>
    </row>
    <row r="39" spans="1:9" ht="24" customHeight="1" x14ac:dyDescent="0.25">
      <c r="A39" s="1"/>
      <c r="B39" s="1"/>
      <c r="C39" s="1"/>
      <c r="D39" s="1"/>
      <c r="E39" s="30"/>
      <c r="F39" s="1"/>
      <c r="G39" s="1"/>
      <c r="H39" s="1"/>
      <c r="I39" s="1"/>
    </row>
    <row r="40" spans="1:9" ht="24" customHeight="1" x14ac:dyDescent="0.25">
      <c r="A40" s="1"/>
      <c r="B40" s="1"/>
      <c r="C40" s="1"/>
      <c r="D40" s="1"/>
      <c r="E40" s="30"/>
      <c r="F40" s="1"/>
      <c r="G40" s="1"/>
      <c r="H40" s="1"/>
      <c r="I40" s="1"/>
    </row>
    <row r="41" spans="1:9" ht="24" customHeight="1" x14ac:dyDescent="0.25">
      <c r="A41" s="1"/>
      <c r="B41" s="1"/>
      <c r="C41" s="1"/>
      <c r="D41" s="1"/>
      <c r="E41" s="30"/>
      <c r="F41" s="1"/>
      <c r="G41" s="1"/>
      <c r="H41" s="1"/>
      <c r="I41" s="1"/>
    </row>
    <row r="42" spans="1:9" ht="24" customHeight="1" x14ac:dyDescent="0.25">
      <c r="A42" s="1"/>
      <c r="B42" s="1"/>
      <c r="C42" s="1"/>
      <c r="D42" s="1"/>
      <c r="E42" s="30"/>
      <c r="F42" s="1"/>
      <c r="G42" s="1"/>
      <c r="H42" s="1"/>
      <c r="I42" s="1"/>
    </row>
    <row r="43" spans="1:9" ht="24" customHeight="1" x14ac:dyDescent="0.25">
      <c r="A43" s="1"/>
      <c r="B43" s="1"/>
      <c r="C43" s="1"/>
      <c r="D43" s="1"/>
      <c r="E43" s="30"/>
      <c r="F43" s="1"/>
      <c r="G43" s="1"/>
      <c r="H43" s="1"/>
      <c r="I43" s="1"/>
    </row>
    <row r="44" spans="1:9" ht="24" customHeight="1" x14ac:dyDescent="0.25">
      <c r="A44" s="1"/>
      <c r="B44" s="1"/>
      <c r="C44" s="1"/>
      <c r="D44" s="1"/>
      <c r="E44" s="30"/>
      <c r="F44" s="1"/>
      <c r="G44" s="1"/>
      <c r="H44" s="1"/>
      <c r="I44" s="1"/>
    </row>
    <row r="45" spans="1:9" ht="24" customHeight="1" x14ac:dyDescent="0.25">
      <c r="A45" s="1"/>
      <c r="B45" s="1"/>
      <c r="C45" s="1"/>
      <c r="D45" s="1"/>
      <c r="E45" s="30"/>
      <c r="F45" s="1"/>
      <c r="G45" s="1"/>
      <c r="H45" s="1"/>
      <c r="I45" s="1"/>
    </row>
    <row r="46" spans="1:9" ht="24" customHeight="1" x14ac:dyDescent="0.25">
      <c r="A46" s="1"/>
      <c r="B46" s="1"/>
      <c r="C46" s="1"/>
      <c r="D46" s="1"/>
      <c r="E46" s="30"/>
      <c r="F46" s="1"/>
      <c r="G46" s="1"/>
      <c r="H46" s="1"/>
      <c r="I46" s="1"/>
    </row>
    <row r="47" spans="1:9" ht="24" customHeight="1" x14ac:dyDescent="0.25">
      <c r="A47" s="1"/>
      <c r="B47" s="1"/>
      <c r="C47" s="1"/>
      <c r="D47" s="1"/>
      <c r="E47" s="30"/>
      <c r="F47" s="1"/>
      <c r="G47" s="1"/>
      <c r="H47" s="1"/>
      <c r="I47" s="1"/>
    </row>
    <row r="48" spans="1:9" ht="24" customHeight="1" x14ac:dyDescent="0.25">
      <c r="A48" s="1"/>
      <c r="B48" s="1"/>
      <c r="C48" s="1"/>
      <c r="D48" s="1"/>
      <c r="E48" s="30"/>
      <c r="F48" s="1"/>
      <c r="G48" s="1"/>
      <c r="H48" s="1"/>
      <c r="I48" s="1"/>
    </row>
    <row r="49" spans="1:9" ht="24" customHeight="1" x14ac:dyDescent="0.25">
      <c r="A49" s="1"/>
      <c r="B49" s="1"/>
      <c r="C49" s="1"/>
      <c r="D49" s="1"/>
      <c r="E49" s="30"/>
      <c r="F49" s="1"/>
      <c r="G49" s="1"/>
      <c r="H49" s="1"/>
      <c r="I49" s="1"/>
    </row>
    <row r="50" spans="1:9" ht="24" customHeight="1" x14ac:dyDescent="0.25">
      <c r="A50" s="1"/>
      <c r="B50" s="1"/>
      <c r="C50" s="1"/>
      <c r="D50" s="1"/>
      <c r="E50" s="30"/>
      <c r="F50" s="1"/>
      <c r="G50" s="1"/>
      <c r="H50" s="1"/>
      <c r="I50" s="1"/>
    </row>
    <row r="51" spans="1:9" ht="24" customHeight="1" x14ac:dyDescent="0.25">
      <c r="A51" s="1"/>
      <c r="B51" s="1"/>
      <c r="C51" s="1"/>
      <c r="D51" s="1"/>
      <c r="E51" s="30"/>
      <c r="F51" s="1"/>
      <c r="G51" s="1"/>
      <c r="H51" s="1"/>
      <c r="I51" s="1"/>
    </row>
    <row r="52" spans="1:9" ht="24" customHeight="1" x14ac:dyDescent="0.25">
      <c r="A52" s="1"/>
      <c r="B52" s="1"/>
      <c r="C52" s="1"/>
      <c r="D52" s="1"/>
      <c r="E52" s="30"/>
      <c r="F52" s="1"/>
      <c r="G52" s="1"/>
      <c r="H52" s="1"/>
      <c r="I52" s="1"/>
    </row>
    <row r="53" spans="1:9" ht="24" customHeight="1" x14ac:dyDescent="0.25">
      <c r="A53" s="1"/>
      <c r="B53" s="1"/>
      <c r="C53" s="1"/>
      <c r="D53" s="1"/>
      <c r="E53" s="30"/>
      <c r="F53" s="1"/>
      <c r="G53" s="1"/>
      <c r="H53" s="1"/>
      <c r="I53" s="1"/>
    </row>
    <row r="54" spans="1:9" ht="24" customHeight="1" x14ac:dyDescent="0.25">
      <c r="A54" s="1"/>
      <c r="B54" s="1"/>
      <c r="C54" s="1"/>
      <c r="D54" s="1"/>
      <c r="E54" s="30"/>
      <c r="F54" s="1"/>
      <c r="G54" s="1"/>
      <c r="H54" s="1"/>
      <c r="I54" s="1"/>
    </row>
    <row r="55" spans="1:9" ht="24" customHeight="1" x14ac:dyDescent="0.25">
      <c r="A55" s="1"/>
      <c r="B55" s="1"/>
      <c r="C55" s="1"/>
      <c r="D55" s="1"/>
      <c r="E55" s="30"/>
      <c r="F55" s="1"/>
      <c r="G55" s="1"/>
      <c r="H55" s="1"/>
      <c r="I55" s="1"/>
    </row>
    <row r="56" spans="1:9" ht="24" customHeight="1" x14ac:dyDescent="0.25">
      <c r="A56" s="1"/>
      <c r="B56" s="1"/>
      <c r="C56" s="1"/>
      <c r="D56" s="1"/>
      <c r="E56" s="30"/>
      <c r="F56" s="1"/>
      <c r="G56" s="1"/>
      <c r="H56" s="1"/>
      <c r="I56" s="1"/>
    </row>
    <row r="57" spans="1:9" ht="24" customHeight="1" x14ac:dyDescent="0.25">
      <c r="A57" s="1"/>
      <c r="B57" s="1"/>
      <c r="C57" s="1"/>
      <c r="D57" s="1"/>
      <c r="E57" s="30"/>
      <c r="F57" s="1"/>
      <c r="G57" s="1"/>
      <c r="H57" s="1"/>
      <c r="I57" s="1"/>
    </row>
    <row r="58" spans="1:9" ht="24" customHeight="1" x14ac:dyDescent="0.25">
      <c r="A58" s="1"/>
      <c r="B58" s="1"/>
      <c r="C58" s="1"/>
      <c r="D58" s="1"/>
      <c r="E58" s="30"/>
      <c r="F58" s="1"/>
      <c r="G58" s="1"/>
      <c r="H58" s="1"/>
      <c r="I58" s="1"/>
    </row>
    <row r="59" spans="1:9" ht="24" customHeight="1" x14ac:dyDescent="0.25">
      <c r="A59" s="1"/>
      <c r="B59" s="1"/>
      <c r="C59" s="1"/>
      <c r="D59" s="1"/>
      <c r="E59" s="30"/>
      <c r="F59" s="1"/>
      <c r="G59" s="1"/>
      <c r="H59" s="1"/>
      <c r="I59" s="1"/>
    </row>
  </sheetData>
  <mergeCells count="2">
    <mergeCell ref="A1:F3"/>
    <mergeCell ref="A4:F4"/>
  </mergeCells>
  <pageMargins left="0.7" right="0.7" top="0.75" bottom="0.75" header="0.3" footer="0.3"/>
  <pageSetup scale="32" orientation="landscape" r:id="rId1"/>
  <drawing r:id="rId2"/>
  <tableParts count="1">
    <tablePart r:id="rId3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55C841-D6D6-4D65-9A32-D85F39E0CA2F}">
  <dimension ref="A2:J59"/>
  <sheetViews>
    <sheetView topLeftCell="B41" zoomScale="40" zoomScaleNormal="40" workbookViewId="0">
      <selection activeCell="E61" sqref="E61"/>
    </sheetView>
  </sheetViews>
  <sheetFormatPr baseColWidth="10" defaultRowHeight="15" x14ac:dyDescent="0.25"/>
  <cols>
    <col min="1" max="1" width="67" bestFit="1" customWidth="1"/>
    <col min="2" max="2" width="28.7109375" bestFit="1" customWidth="1"/>
    <col min="3" max="3" width="67.7109375" customWidth="1"/>
    <col min="4" max="4" width="120.5703125" bestFit="1" customWidth="1"/>
    <col min="5" max="5" width="78.7109375" customWidth="1"/>
    <col min="6" max="6" width="51.140625" bestFit="1" customWidth="1"/>
    <col min="7" max="7" width="89.7109375" customWidth="1"/>
    <col min="8" max="8" width="41.28515625" bestFit="1" customWidth="1"/>
    <col min="9" max="9" width="129.140625" bestFit="1" customWidth="1"/>
    <col min="10" max="10" width="50.5703125" bestFit="1" customWidth="1"/>
  </cols>
  <sheetData>
    <row r="2" spans="1:10" ht="10.5" customHeight="1" x14ac:dyDescent="0.25">
      <c r="A2" s="48"/>
      <c r="B2" s="44"/>
      <c r="C2" s="44"/>
      <c r="D2" s="44"/>
      <c r="F2" s="25"/>
    </row>
    <row r="3" spans="1:10" ht="28.5" hidden="1" x14ac:dyDescent="0.45">
      <c r="A3" s="10"/>
      <c r="B3" s="10"/>
      <c r="C3" s="17"/>
      <c r="D3" s="17"/>
      <c r="E3" s="17"/>
      <c r="F3" s="18"/>
    </row>
    <row r="4" spans="1:10" ht="96.75" customHeight="1" x14ac:dyDescent="0.25">
      <c r="A4" s="36"/>
      <c r="B4" s="36"/>
      <c r="C4" s="36"/>
      <c r="D4" s="36"/>
      <c r="E4" s="36"/>
      <c r="F4" s="36"/>
      <c r="G4" s="37"/>
      <c r="H4" s="37"/>
      <c r="I4" s="36"/>
      <c r="J4" s="36"/>
    </row>
    <row r="5" spans="1:10" ht="46.5" x14ac:dyDescent="0.25">
      <c r="A5" s="13"/>
      <c r="B5" s="13"/>
      <c r="C5" s="11"/>
      <c r="D5" s="12"/>
      <c r="E5" s="26"/>
      <c r="F5" s="13"/>
      <c r="G5" s="35"/>
      <c r="H5" s="35"/>
      <c r="I5" s="13"/>
      <c r="J5" s="13"/>
    </row>
    <row r="6" spans="1:10" ht="46.5" x14ac:dyDescent="0.25">
      <c r="A6" s="13"/>
      <c r="B6" s="13"/>
      <c r="C6" s="11"/>
      <c r="D6" s="12"/>
      <c r="E6" s="26"/>
      <c r="F6" s="13"/>
      <c r="G6" s="35"/>
      <c r="H6" s="35"/>
      <c r="I6" s="13"/>
      <c r="J6" s="13"/>
    </row>
    <row r="7" spans="1:10" ht="46.5" x14ac:dyDescent="0.25">
      <c r="A7" s="13"/>
      <c r="B7" s="13"/>
      <c r="C7" s="11"/>
      <c r="D7" s="12"/>
      <c r="E7" s="26"/>
      <c r="F7" s="13"/>
      <c r="G7" s="35"/>
      <c r="H7" s="35"/>
      <c r="I7" s="13"/>
      <c r="J7" s="13"/>
    </row>
    <row r="8" spans="1:10" ht="46.5" x14ac:dyDescent="0.25">
      <c r="A8" s="13"/>
      <c r="B8" s="13"/>
      <c r="C8" s="11"/>
      <c r="D8" s="12"/>
      <c r="E8" s="26"/>
      <c r="F8" s="13"/>
      <c r="G8" s="35"/>
      <c r="H8" s="35"/>
      <c r="I8" s="13"/>
      <c r="J8" s="13"/>
    </row>
    <row r="9" spans="1:10" ht="46.5" x14ac:dyDescent="0.25">
      <c r="A9" s="13"/>
      <c r="B9" s="13"/>
      <c r="C9" s="11"/>
      <c r="D9" s="12"/>
      <c r="E9" s="26"/>
      <c r="F9" s="13"/>
      <c r="G9" s="35"/>
      <c r="H9" s="35"/>
      <c r="I9" s="13"/>
      <c r="J9" s="13"/>
    </row>
    <row r="10" spans="1:10" ht="46.5" x14ac:dyDescent="0.25">
      <c r="A10" s="13"/>
      <c r="B10" s="13"/>
      <c r="C10" s="11"/>
      <c r="D10" s="12"/>
      <c r="E10" s="26"/>
      <c r="F10" s="13"/>
      <c r="G10" s="35"/>
      <c r="H10" s="35"/>
      <c r="I10" s="13"/>
      <c r="J10" s="13"/>
    </row>
    <row r="11" spans="1:10" ht="46.5" x14ac:dyDescent="0.25">
      <c r="A11" s="13"/>
      <c r="B11" s="13"/>
      <c r="C11" s="11"/>
      <c r="D11" s="12"/>
      <c r="E11" s="26"/>
      <c r="F11" s="13"/>
      <c r="G11" s="35"/>
      <c r="H11" s="35"/>
      <c r="I11" s="13"/>
      <c r="J11" s="13"/>
    </row>
    <row r="12" spans="1:10" ht="46.5" x14ac:dyDescent="0.25">
      <c r="A12" s="13"/>
      <c r="B12" s="13"/>
      <c r="C12" s="11"/>
      <c r="D12" s="12"/>
      <c r="E12" s="26"/>
      <c r="F12" s="13"/>
      <c r="G12" s="35"/>
      <c r="H12" s="35"/>
      <c r="I12" s="13"/>
      <c r="J12" s="13"/>
    </row>
    <row r="13" spans="1:10" ht="46.5" x14ac:dyDescent="0.25">
      <c r="A13" s="13"/>
      <c r="B13" s="13"/>
      <c r="C13" s="11"/>
      <c r="D13" s="12"/>
      <c r="E13" s="26"/>
      <c r="F13" s="13"/>
      <c r="G13" s="35"/>
      <c r="H13" s="35"/>
      <c r="I13" s="13"/>
      <c r="J13" s="13"/>
    </row>
    <row r="14" spans="1:10" ht="46.5" x14ac:dyDescent="0.25">
      <c r="A14" s="13"/>
      <c r="B14" s="13"/>
      <c r="C14" s="11"/>
      <c r="D14" s="12"/>
      <c r="E14" s="26"/>
      <c r="F14" s="13"/>
      <c r="G14" s="35"/>
      <c r="H14" s="35"/>
      <c r="I14" s="13"/>
      <c r="J14" s="13"/>
    </row>
    <row r="15" spans="1:10" ht="46.5" x14ac:dyDescent="0.25">
      <c r="A15" s="13"/>
      <c r="B15" s="13"/>
      <c r="C15" s="11"/>
      <c r="D15" s="12"/>
      <c r="E15" s="26"/>
      <c r="F15" s="13"/>
      <c r="G15" s="35"/>
      <c r="H15" s="35"/>
      <c r="I15" s="13"/>
      <c r="J15" s="13"/>
    </row>
    <row r="16" spans="1:10" ht="46.5" x14ac:dyDescent="0.25">
      <c r="A16" s="13"/>
      <c r="B16" s="13"/>
      <c r="C16" s="11"/>
      <c r="D16" s="12"/>
      <c r="E16" s="26"/>
      <c r="F16" s="13"/>
      <c r="G16" s="35"/>
      <c r="H16" s="35"/>
      <c r="I16" s="13"/>
      <c r="J16" s="13"/>
    </row>
    <row r="17" spans="1:10" ht="46.5" x14ac:dyDescent="0.25">
      <c r="A17" s="13"/>
      <c r="B17" s="13"/>
      <c r="C17" s="11"/>
      <c r="D17" s="12"/>
      <c r="E17" s="26"/>
      <c r="F17" s="13"/>
      <c r="G17" s="35"/>
      <c r="H17" s="35"/>
      <c r="I17" s="13"/>
      <c r="J17" s="13"/>
    </row>
    <row r="18" spans="1:10" ht="46.5" x14ac:dyDescent="0.25">
      <c r="A18" s="13"/>
      <c r="B18" s="13"/>
      <c r="C18" s="11"/>
      <c r="D18" s="12"/>
      <c r="E18" s="26"/>
      <c r="F18" s="13"/>
      <c r="G18" s="35"/>
      <c r="H18" s="35"/>
      <c r="I18" s="13"/>
      <c r="J18" s="13"/>
    </row>
    <row r="19" spans="1:10" ht="46.5" x14ac:dyDescent="0.25">
      <c r="A19" s="13"/>
      <c r="B19" s="13"/>
      <c r="C19" s="11"/>
      <c r="D19" s="12"/>
      <c r="E19" s="26"/>
      <c r="F19" s="13"/>
      <c r="G19" s="35"/>
      <c r="H19" s="35"/>
      <c r="I19" s="13"/>
      <c r="J19" s="13"/>
    </row>
    <row r="20" spans="1:10" ht="46.5" x14ac:dyDescent="0.25">
      <c r="A20" s="13"/>
      <c r="B20" s="13"/>
      <c r="C20" s="11"/>
      <c r="D20" s="12"/>
      <c r="E20" s="26"/>
      <c r="F20" s="13"/>
      <c r="G20" s="35"/>
      <c r="H20" s="35"/>
      <c r="I20" s="13"/>
      <c r="J20" s="13"/>
    </row>
    <row r="21" spans="1:10" ht="46.5" x14ac:dyDescent="0.25">
      <c r="A21" s="13"/>
      <c r="B21" s="13"/>
      <c r="C21" s="11"/>
      <c r="D21" s="12"/>
      <c r="E21" s="26"/>
      <c r="F21" s="13"/>
      <c r="G21" s="35"/>
      <c r="H21" s="35"/>
      <c r="I21" s="13"/>
      <c r="J21" s="13"/>
    </row>
    <row r="22" spans="1:10" ht="46.5" x14ac:dyDescent="0.25">
      <c r="A22" s="13"/>
      <c r="B22" s="13"/>
      <c r="C22" s="11"/>
      <c r="D22" s="12"/>
      <c r="E22" s="26"/>
      <c r="F22" s="13"/>
      <c r="G22" s="35"/>
      <c r="H22" s="35"/>
      <c r="I22" s="13"/>
      <c r="J22" s="13"/>
    </row>
    <row r="23" spans="1:10" ht="46.5" x14ac:dyDescent="0.25">
      <c r="A23" s="13"/>
      <c r="B23" s="13"/>
      <c r="C23" s="11"/>
      <c r="D23" s="12"/>
      <c r="E23" s="26"/>
      <c r="F23" s="13"/>
      <c r="G23" s="35"/>
      <c r="H23" s="35"/>
      <c r="I23" s="13"/>
      <c r="J23" s="13"/>
    </row>
    <row r="24" spans="1:10" ht="46.5" x14ac:dyDescent="0.25">
      <c r="A24" s="13"/>
      <c r="B24" s="13"/>
      <c r="C24" s="11"/>
      <c r="D24" s="12"/>
      <c r="E24" s="26"/>
      <c r="F24" s="13"/>
      <c r="G24" s="35"/>
      <c r="H24" s="35"/>
      <c r="I24" s="13"/>
      <c r="J24" s="13"/>
    </row>
    <row r="25" spans="1:10" ht="46.5" x14ac:dyDescent="0.25">
      <c r="A25" s="13"/>
      <c r="B25" s="13"/>
      <c r="C25" s="11"/>
      <c r="D25" s="12"/>
      <c r="E25" s="26"/>
      <c r="F25" s="13"/>
      <c r="G25" s="35"/>
      <c r="H25" s="35"/>
      <c r="I25" s="13"/>
      <c r="J25" s="13"/>
    </row>
    <row r="26" spans="1:10" ht="46.5" x14ac:dyDescent="0.25">
      <c r="A26" s="13"/>
      <c r="B26" s="13"/>
      <c r="C26" s="11"/>
      <c r="D26" s="12"/>
      <c r="E26" s="26"/>
      <c r="F26" s="13"/>
      <c r="G26" s="35"/>
      <c r="H26" s="35"/>
      <c r="I26" s="13"/>
      <c r="J26" s="13"/>
    </row>
    <row r="27" spans="1:10" ht="46.5" x14ac:dyDescent="0.25">
      <c r="A27" s="13"/>
      <c r="B27" s="13"/>
      <c r="C27" s="11"/>
      <c r="D27" s="12"/>
      <c r="E27" s="26"/>
      <c r="F27" s="13"/>
      <c r="G27" s="35"/>
      <c r="H27" s="35"/>
      <c r="I27" s="13"/>
      <c r="J27" s="13"/>
    </row>
    <row r="28" spans="1:10" ht="46.5" x14ac:dyDescent="0.25">
      <c r="A28" s="20"/>
      <c r="B28" s="20"/>
      <c r="C28" s="11"/>
      <c r="D28" s="12"/>
      <c r="E28" s="26"/>
      <c r="F28" s="22"/>
      <c r="G28" s="35"/>
      <c r="H28" s="35"/>
      <c r="I28" s="27"/>
      <c r="J28" s="13"/>
    </row>
    <row r="29" spans="1:10" ht="46.5" x14ac:dyDescent="0.25">
      <c r="A29" s="13"/>
      <c r="B29" s="13"/>
      <c r="C29" s="11"/>
      <c r="D29" s="12"/>
      <c r="E29" s="26"/>
      <c r="F29" s="13"/>
      <c r="G29" s="35"/>
      <c r="H29" s="35"/>
      <c r="I29" s="13"/>
      <c r="J29" s="13"/>
    </row>
    <row r="30" spans="1:10" ht="46.5" x14ac:dyDescent="0.25">
      <c r="A30" s="13"/>
      <c r="B30" s="13"/>
      <c r="C30" s="11"/>
      <c r="D30" s="12"/>
      <c r="E30" s="26"/>
      <c r="F30" s="13"/>
      <c r="G30" s="35"/>
      <c r="H30" s="35"/>
      <c r="I30" s="13"/>
      <c r="J30" s="13"/>
    </row>
    <row r="31" spans="1:10" ht="46.5" x14ac:dyDescent="0.25">
      <c r="A31" s="13"/>
      <c r="B31" s="13"/>
      <c r="C31" s="11"/>
      <c r="D31" s="12"/>
      <c r="E31" s="26"/>
      <c r="F31" s="13"/>
      <c r="G31" s="35"/>
      <c r="H31" s="35"/>
      <c r="I31" s="13"/>
      <c r="J31" s="13"/>
    </row>
    <row r="32" spans="1:10" ht="46.5" x14ac:dyDescent="0.25">
      <c r="A32" s="13"/>
      <c r="B32" s="13"/>
      <c r="C32" s="11"/>
      <c r="D32" s="12"/>
      <c r="E32" s="26"/>
      <c r="F32" s="13"/>
      <c r="G32" s="35"/>
      <c r="H32" s="35"/>
      <c r="I32" s="13"/>
      <c r="J32" s="13"/>
    </row>
    <row r="33" spans="1:10" ht="46.5" x14ac:dyDescent="0.25">
      <c r="A33" s="13"/>
      <c r="B33" s="13"/>
      <c r="C33" s="11"/>
      <c r="D33" s="12"/>
      <c r="E33" s="26"/>
      <c r="F33" s="13"/>
      <c r="G33" s="35"/>
      <c r="H33" s="35"/>
      <c r="I33" s="13"/>
      <c r="J33" s="13"/>
    </row>
    <row r="34" spans="1:10" ht="46.5" x14ac:dyDescent="0.25">
      <c r="A34" s="13"/>
      <c r="B34" s="13"/>
      <c r="C34" s="11"/>
      <c r="D34" s="12"/>
      <c r="E34" s="26"/>
      <c r="F34" s="13"/>
      <c r="G34" s="35"/>
      <c r="H34" s="35"/>
      <c r="I34" s="13"/>
      <c r="J34" s="13"/>
    </row>
    <row r="35" spans="1:10" ht="46.5" x14ac:dyDescent="0.25">
      <c r="A35" s="13"/>
      <c r="B35" s="13"/>
      <c r="C35" s="11"/>
      <c r="D35" s="12"/>
      <c r="E35" s="26"/>
      <c r="F35" s="13"/>
      <c r="G35" s="35"/>
      <c r="H35" s="35"/>
      <c r="I35" s="13"/>
      <c r="J35" s="13"/>
    </row>
    <row r="36" spans="1:10" ht="46.5" x14ac:dyDescent="0.25">
      <c r="A36" s="13"/>
      <c r="B36" s="13"/>
      <c r="C36" s="11"/>
      <c r="D36" s="12"/>
      <c r="E36" s="26"/>
      <c r="F36" s="13"/>
      <c r="G36" s="35"/>
      <c r="H36" s="35"/>
      <c r="I36" s="13"/>
      <c r="J36" s="13"/>
    </row>
    <row r="37" spans="1:10" ht="46.5" x14ac:dyDescent="0.25">
      <c r="A37" s="13"/>
      <c r="B37" s="13"/>
      <c r="C37" s="11"/>
      <c r="D37" s="12"/>
      <c r="E37" s="26"/>
      <c r="F37" s="13"/>
      <c r="G37" s="35"/>
      <c r="H37" s="35"/>
      <c r="I37" s="13"/>
      <c r="J37" s="13"/>
    </row>
    <row r="38" spans="1:10" ht="46.5" x14ac:dyDescent="0.25">
      <c r="A38" s="13"/>
      <c r="B38" s="13"/>
      <c r="C38" s="11"/>
      <c r="D38" s="12"/>
      <c r="E38" s="26"/>
      <c r="F38" s="13"/>
      <c r="G38" s="35"/>
      <c r="H38" s="35"/>
      <c r="I38" s="13"/>
      <c r="J38" s="13"/>
    </row>
    <row r="39" spans="1:10" ht="46.5" x14ac:dyDescent="0.25">
      <c r="A39" s="13"/>
      <c r="B39" s="13"/>
      <c r="C39" s="11"/>
      <c r="D39" s="12"/>
      <c r="E39" s="26"/>
      <c r="F39" s="13"/>
      <c r="G39" s="35"/>
      <c r="H39" s="35"/>
      <c r="I39" s="13"/>
      <c r="J39" s="13"/>
    </row>
    <row r="40" spans="1:10" ht="46.5" x14ac:dyDescent="0.25">
      <c r="A40" s="13"/>
      <c r="B40" s="13"/>
      <c r="C40" s="11"/>
      <c r="D40" s="12"/>
      <c r="E40" s="26"/>
      <c r="F40" s="13"/>
      <c r="G40" s="35"/>
      <c r="H40" s="35"/>
      <c r="I40" s="13"/>
      <c r="J40" s="13"/>
    </row>
    <row r="41" spans="1:10" ht="46.5" x14ac:dyDescent="0.25">
      <c r="A41" s="13"/>
      <c r="B41" s="13"/>
      <c r="C41" s="11"/>
      <c r="D41" s="12"/>
      <c r="E41" s="26"/>
      <c r="F41" s="13"/>
      <c r="G41" s="35"/>
      <c r="H41" s="35"/>
      <c r="I41" s="13"/>
      <c r="J41" s="13"/>
    </row>
    <row r="42" spans="1:10" ht="46.5" x14ac:dyDescent="0.25">
      <c r="A42" s="13"/>
      <c r="B42" s="13"/>
      <c r="C42" s="11"/>
      <c r="D42" s="12"/>
      <c r="E42" s="26"/>
      <c r="F42" s="13"/>
      <c r="G42" s="35"/>
      <c r="H42" s="35"/>
      <c r="I42" s="13"/>
      <c r="J42" s="13"/>
    </row>
    <row r="43" spans="1:10" ht="46.5" x14ac:dyDescent="0.25">
      <c r="A43" s="13"/>
      <c r="B43" s="13"/>
      <c r="C43" s="11"/>
      <c r="D43" s="12"/>
      <c r="E43" s="26"/>
      <c r="F43" s="13"/>
      <c r="G43" s="35"/>
      <c r="H43" s="35"/>
      <c r="I43" s="13"/>
      <c r="J43" s="13"/>
    </row>
    <row r="44" spans="1:10" ht="46.5" x14ac:dyDescent="0.25">
      <c r="A44" s="13"/>
      <c r="B44" s="13"/>
      <c r="C44" s="11"/>
      <c r="D44" s="12"/>
      <c r="E44" s="26"/>
      <c r="F44" s="13"/>
      <c r="G44" s="35"/>
      <c r="H44" s="35"/>
      <c r="I44" s="13"/>
      <c r="J44" s="13"/>
    </row>
    <row r="45" spans="1:10" ht="46.5" x14ac:dyDescent="0.25">
      <c r="A45" s="13"/>
      <c r="B45" s="13"/>
      <c r="C45" s="11"/>
      <c r="D45" s="12"/>
      <c r="E45" s="26"/>
      <c r="F45" s="13"/>
      <c r="G45" s="35"/>
      <c r="H45" s="35"/>
      <c r="I45" s="13"/>
      <c r="J45" s="13"/>
    </row>
    <row r="46" spans="1:10" ht="46.5" x14ac:dyDescent="0.25">
      <c r="A46" s="13"/>
      <c r="B46" s="13"/>
      <c r="C46" s="11"/>
      <c r="D46" s="12"/>
      <c r="E46" s="26"/>
      <c r="F46" s="13"/>
      <c r="G46" s="35"/>
      <c r="H46" s="35"/>
      <c r="I46" s="13"/>
      <c r="J46" s="13"/>
    </row>
    <row r="47" spans="1:10" ht="46.5" x14ac:dyDescent="0.25">
      <c r="A47" s="21"/>
      <c r="B47" s="21"/>
      <c r="C47" s="11"/>
      <c r="D47" s="12"/>
      <c r="E47" s="28"/>
      <c r="F47" s="23"/>
      <c r="G47" s="35"/>
      <c r="H47" s="35"/>
      <c r="I47" s="24"/>
      <c r="J47" s="13"/>
    </row>
    <row r="48" spans="1:10" ht="46.5" x14ac:dyDescent="0.25">
      <c r="A48" s="21"/>
      <c r="B48" s="21"/>
      <c r="C48" s="11"/>
      <c r="D48" s="12"/>
      <c r="E48" s="28"/>
      <c r="F48" s="23"/>
      <c r="G48" s="35"/>
      <c r="H48" s="35"/>
      <c r="I48" s="24"/>
      <c r="J48" s="13"/>
    </row>
    <row r="49" spans="1:10" ht="46.5" x14ac:dyDescent="0.25">
      <c r="A49" s="21"/>
      <c r="B49" s="21"/>
      <c r="C49" s="11"/>
      <c r="D49" s="12"/>
      <c r="E49" s="28"/>
      <c r="F49" s="23"/>
      <c r="G49" s="35"/>
      <c r="H49" s="35"/>
      <c r="I49" s="24"/>
      <c r="J49" s="13"/>
    </row>
    <row r="50" spans="1:10" ht="46.5" x14ac:dyDescent="0.25">
      <c r="A50" s="21"/>
      <c r="B50" s="21"/>
      <c r="C50" s="11"/>
      <c r="D50" s="12"/>
      <c r="E50" s="28"/>
      <c r="F50" s="23"/>
      <c r="G50" s="35"/>
      <c r="H50" s="35"/>
      <c r="I50" s="24"/>
      <c r="J50" s="13"/>
    </row>
    <row r="51" spans="1:10" ht="46.5" x14ac:dyDescent="0.25">
      <c r="A51" s="13"/>
      <c r="B51" s="13"/>
      <c r="C51" s="11"/>
      <c r="D51" s="13"/>
      <c r="E51" s="26"/>
      <c r="F51" s="13"/>
      <c r="G51" s="35"/>
      <c r="H51" s="35"/>
      <c r="I51" s="13"/>
      <c r="J51" s="13"/>
    </row>
    <row r="52" spans="1:10" ht="46.5" x14ac:dyDescent="0.25">
      <c r="A52" s="21"/>
      <c r="B52" s="21"/>
      <c r="C52" s="11"/>
      <c r="D52" s="12"/>
      <c r="E52" s="28"/>
      <c r="F52" s="23"/>
      <c r="G52" s="35"/>
      <c r="H52" s="35"/>
      <c r="I52" s="24"/>
      <c r="J52" s="13"/>
    </row>
    <row r="53" spans="1:10" ht="46.5" x14ac:dyDescent="0.25">
      <c r="A53" s="21"/>
      <c r="B53" s="21"/>
      <c r="C53" s="11"/>
      <c r="D53" s="12"/>
      <c r="E53" s="28"/>
      <c r="F53" s="23"/>
      <c r="G53" s="35"/>
      <c r="H53" s="35"/>
      <c r="I53" s="24"/>
      <c r="J53" s="13"/>
    </row>
    <row r="54" spans="1:10" ht="46.5" x14ac:dyDescent="0.25">
      <c r="A54" s="21"/>
      <c r="B54" s="21"/>
      <c r="C54" s="11"/>
      <c r="D54" s="12"/>
      <c r="E54" s="28"/>
      <c r="F54" s="23"/>
      <c r="G54" s="35"/>
      <c r="H54" s="35"/>
      <c r="I54" s="24"/>
      <c r="J54" s="13"/>
    </row>
    <row r="55" spans="1:10" ht="46.5" x14ac:dyDescent="0.25">
      <c r="A55" s="21"/>
      <c r="B55" s="21"/>
      <c r="C55" s="11"/>
      <c r="D55" s="12"/>
      <c r="E55" s="28"/>
      <c r="F55" s="23"/>
      <c r="G55" s="35"/>
      <c r="H55" s="35"/>
      <c r="I55" s="24"/>
      <c r="J55" s="13"/>
    </row>
    <row r="56" spans="1:10" ht="46.5" x14ac:dyDescent="0.25">
      <c r="A56" s="21"/>
      <c r="B56" s="21"/>
      <c r="C56" s="11"/>
      <c r="D56" s="12"/>
      <c r="E56" s="28"/>
      <c r="F56" s="23"/>
      <c r="G56" s="35"/>
      <c r="H56" s="35"/>
      <c r="I56" s="24"/>
      <c r="J56" s="13"/>
    </row>
    <row r="57" spans="1:10" ht="46.5" x14ac:dyDescent="0.25">
      <c r="A57" s="13"/>
      <c r="B57" s="13"/>
      <c r="C57" s="11"/>
      <c r="D57" s="12"/>
      <c r="E57" s="28"/>
      <c r="F57" s="13"/>
      <c r="G57" s="35"/>
      <c r="H57" s="35"/>
      <c r="I57" s="13"/>
      <c r="J57" s="13"/>
    </row>
    <row r="58" spans="1:10" ht="46.5" x14ac:dyDescent="0.25">
      <c r="A58" s="13"/>
      <c r="B58" s="13"/>
      <c r="C58" s="11"/>
      <c r="D58" s="12"/>
      <c r="E58" s="28"/>
      <c r="F58" s="13"/>
      <c r="G58" s="35"/>
      <c r="H58" s="35"/>
      <c r="I58" s="13"/>
      <c r="J58" s="13"/>
    </row>
    <row r="59" spans="1:10" ht="46.5" x14ac:dyDescent="0.25">
      <c r="A59" s="13"/>
      <c r="B59" s="13"/>
      <c r="C59" s="11"/>
      <c r="D59" s="12"/>
      <c r="E59" s="28"/>
      <c r="F59" s="13"/>
      <c r="G59" s="35"/>
      <c r="H59" s="35"/>
      <c r="I59" s="13"/>
      <c r="J59" s="13"/>
    </row>
  </sheetData>
  <mergeCells count="1">
    <mergeCell ref="A2:D2"/>
  </mergeCells>
  <conditionalFormatting sqref="A5:A59">
    <cfRule type="duplicateValues" priority="1"/>
    <cfRule type="cellIs" dxfId="0" priority="2" operator="equal">
      <formula>28121.5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8</vt:i4>
      </vt:variant>
    </vt:vector>
  </HeadingPairs>
  <TitlesOfParts>
    <vt:vector size="8" baseType="lpstr">
      <vt:lpstr>CASA MATRIZ</vt:lpstr>
      <vt:lpstr>SANLORENZO_CENTRO</vt:lpstr>
      <vt:lpstr>SUCURSAL 5</vt:lpstr>
      <vt:lpstr>VILLARRICA</vt:lpstr>
      <vt:lpstr>CENTRO MEDICO REDUCTO</vt:lpstr>
      <vt:lpstr>HERNANDARIAS</vt:lpstr>
      <vt:lpstr>C.D.E</vt:lpstr>
      <vt:lpstr>ALTAS Y BAJAS DE PERSONALES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Tobias Cabral</cp:lastModifiedBy>
  <cp:lastPrinted>2026-03-11T13:04:19Z</cp:lastPrinted>
  <dcterms:created xsi:type="dcterms:W3CDTF">2026-02-21T19:45:45Z</dcterms:created>
  <dcterms:modified xsi:type="dcterms:W3CDTF">2026-04-28T12:20:50Z</dcterms:modified>
</cp:coreProperties>
</file>